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5440" windowHeight="15390" tabRatio="560" firstSheet="0" activeTab="0" autoFilterDateGrouping="1"/>
  </bookViews>
  <sheets>
    <sheet xmlns:r="http://schemas.openxmlformats.org/officeDocument/2006/relationships" name=" Suelo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 Suelo'!$A$1:$I$49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\ \k\i\t"/>
  </numFmts>
  <fonts count="27">
    <font>
      <name val="Calibri"/>
      <charset val="134"/>
      <color theme="1"/>
      <sz val="11"/>
      <scheme val="minor"/>
    </font>
    <font>
      <name val="Verdana"/>
      <family val="2"/>
      <color indexed="8"/>
      <sz val="11"/>
    </font>
    <font>
      <name val="宋体"/>
      <charset val="134"/>
      <family val="3"/>
      <sz val="9"/>
    </font>
    <font>
      <name val="Calibri"/>
      <family val="2"/>
      <color indexed="8"/>
      <sz val="11"/>
    </font>
    <font>
      <name val="Verdana"/>
      <family val="2"/>
      <b val="1"/>
      <color indexed="8"/>
      <sz val="9.5"/>
    </font>
    <font>
      <name val="Verdana"/>
      <family val="2"/>
      <color indexed="8"/>
      <sz val="9.5"/>
    </font>
    <font>
      <name val="Verdana"/>
      <family val="2"/>
      <b val="1"/>
      <color indexed="8"/>
      <sz val="11"/>
    </font>
    <font>
      <name val="Calibri"/>
      <family val="2"/>
      <color theme="10"/>
      <sz val="11"/>
      <u val="single"/>
    </font>
    <font>
      <name val="Calibri"/>
      <charset val="134"/>
      <family val="3"/>
      <sz val="9"/>
      <scheme val="minor"/>
    </font>
    <font>
      <name val="Verdana"/>
      <family val="2"/>
      <color indexed="8"/>
      <sz val="11"/>
      <vertAlign val="superscript"/>
    </font>
    <font>
      <name val="Verdana"/>
      <family val="2"/>
      <b val="1"/>
      <color indexed="8"/>
      <sz val="12"/>
    </font>
    <font>
      <name val="Verdana"/>
      <family val="2"/>
      <b val="1"/>
      <sz val="16"/>
    </font>
    <font>
      <name val="Verdana"/>
      <family val="2"/>
      <b val="1"/>
      <color theme="1"/>
      <sz val="11"/>
    </font>
    <font>
      <name val="Verdana"/>
      <family val="2"/>
      <color theme="1"/>
      <sz val="11"/>
    </font>
    <font>
      <name val="Calibri"/>
      <charset val="134"/>
      <family val="3"/>
      <color theme="1"/>
      <sz val="11"/>
      <scheme val="minor"/>
    </font>
    <font>
      <name val="Verdana"/>
      <family val="2"/>
      <color rgb="FFFF0000"/>
      <sz val="9.5"/>
    </font>
    <font>
      <name val="Verdana"/>
      <family val="2"/>
      <b val="1"/>
      <color indexed="8"/>
      <sz val="18"/>
    </font>
    <font>
      <name val="宋体"/>
      <charset val="134"/>
      <family val="3"/>
      <b val="1"/>
      <color indexed="8"/>
      <sz val="12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</font>
    <font>
      <name val="Verdana"/>
      <charset val="134"/>
      <family val="2"/>
      <b val="1"/>
      <color rgb="FFFF0000"/>
      <sz val="11"/>
    </font>
    <font>
      <name val="宋体"/>
      <charset val="134"/>
      <family val="3"/>
      <b val="1"/>
      <color rgb="FFFF0000"/>
      <sz val="11"/>
    </font>
    <font>
      <name val="Verdana"/>
      <family val="2"/>
      <b val="1"/>
      <color rgb="FFFF0000"/>
      <sz val="11"/>
    </font>
    <font>
      <name val="Verdana"/>
      <family val="2"/>
      <b val="1"/>
      <sz val="10"/>
    </font>
    <font>
      <name val="Verdana"/>
      <charset val="134"/>
      <family val="2"/>
      <color theme="1"/>
      <sz val="11"/>
    </font>
    <font>
      <name val="Verdana"/>
      <family val="2"/>
      <color theme="1"/>
      <sz val="9.5"/>
    </font>
  </fonts>
  <fills count="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 applyAlignment="1" applyProtection="1">
      <alignment vertical="top"/>
      <protection locked="0" hidden="0"/>
    </xf>
    <xf numFmtId="164" fontId="3" fillId="0" borderId="0"/>
    <xf numFmtId="0" fontId="14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0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pivotButton="0" quotePrefix="0" xfId="0"/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1" fillId="0" borderId="9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3"/>
    <xf numFmtId="0" fontId="5" fillId="0" borderId="0" pivotButton="0" quotePrefix="0" xfId="0"/>
    <xf numFmtId="0" fontId="15" fillId="0" borderId="0" pivotButton="0" quotePrefix="0" xfId="0"/>
    <xf numFmtId="0" fontId="6" fillId="0" borderId="0" pivotButton="0" quotePrefix="0" xfId="0"/>
    <xf numFmtId="0" fontId="1" fillId="0" borderId="2" pivotButton="0" quotePrefix="0" xfId="0"/>
    <xf numFmtId="0" fontId="26" fillId="0" borderId="0" pivotButton="0" quotePrefix="0" xfId="0"/>
    <xf numFmtId="0" fontId="25" fillId="2" borderId="10" applyAlignment="1" pivotButton="0" quotePrefix="0" xfId="0">
      <alignment horizontal="left" vertical="center"/>
    </xf>
    <xf numFmtId="0" fontId="25" fillId="2" borderId="9" applyAlignment="1" pivotButton="0" quotePrefix="0" xfId="0">
      <alignment horizontal="left" vertical="center"/>
    </xf>
    <xf numFmtId="14" fontId="13" fillId="4" borderId="10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13" fillId="5" borderId="10" applyAlignment="1" pivotButton="0" quotePrefix="0" xfId="0">
      <alignment horizontal="left" vertical="center" wrapText="1"/>
    </xf>
    <xf numFmtId="0" fontId="13" fillId="5" borderId="9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/>
    </xf>
    <xf numFmtId="0" fontId="13" fillId="2" borderId="10" applyAlignment="1" pivotButton="0" quotePrefix="0" xfId="0">
      <alignment horizontal="left" vertical="center" wrapText="1"/>
    </xf>
    <xf numFmtId="0" fontId="13" fillId="2" borderId="9" applyAlignment="1" pivotButton="0" quotePrefix="0" xfId="0">
      <alignment horizontal="left" vertical="center" wrapText="1"/>
    </xf>
    <xf numFmtId="0" fontId="13" fillId="4" borderId="10" applyAlignment="1" pivotButton="0" quotePrefix="0" xfId="0">
      <alignment horizontal="left" vertical="center" wrapText="1"/>
    </xf>
    <xf numFmtId="0" fontId="13" fillId="4" borderId="3" applyAlignment="1" pivotButton="0" quotePrefix="0" xfId="0">
      <alignment horizontal="left" vertical="center"/>
    </xf>
    <xf numFmtId="0" fontId="13" fillId="4" borderId="9" applyAlignment="1" pivotButton="0" quotePrefix="0" xfId="0">
      <alignment horizontal="left" vertical="center"/>
    </xf>
    <xf numFmtId="0" fontId="1" fillId="3" borderId="10" applyAlignment="1" pivotButton="0" quotePrefix="0" xfId="0">
      <alignment horizontal="left"/>
    </xf>
    <xf numFmtId="0" fontId="1" fillId="3" borderId="3" applyAlignment="1" pivotButton="0" quotePrefix="0" xfId="0">
      <alignment horizontal="left"/>
    </xf>
    <xf numFmtId="0" fontId="1" fillId="3" borderId="9" applyAlignment="1" pivotButton="0" quotePrefix="0" xfId="0">
      <alignment horizontal="left"/>
    </xf>
    <xf numFmtId="0" fontId="13" fillId="2" borderId="10" applyAlignment="1" pivotButton="0" quotePrefix="0" xfId="0">
      <alignment horizontal="left" vertical="center"/>
    </xf>
    <xf numFmtId="0" fontId="13" fillId="2" borderId="9" applyAlignment="1" pivotButton="0" quotePrefix="0" xfId="0">
      <alignment horizontal="left" vertical="center"/>
    </xf>
    <xf numFmtId="0" fontId="13" fillId="4" borderId="10" applyAlignment="1" pivotButton="0" quotePrefix="0" xfId="0">
      <alignment horizontal="center" vertical="center"/>
    </xf>
    <xf numFmtId="0" fontId="1" fillId="5" borderId="8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0" fontId="13" fillId="2" borderId="3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1" fillId="2" borderId="10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center"/>
    </xf>
    <xf numFmtId="0" fontId="21" fillId="2" borderId="10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1" fillId="5" borderId="10" applyAlignment="1" pivotButton="0" quotePrefix="0" xfId="0">
      <alignment horizontal="left" vertical="center" wrapText="1"/>
    </xf>
    <xf numFmtId="0" fontId="1" fillId="5" borderId="9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6" borderId="6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6" fillId="0" borderId="0" applyAlignment="1" pivotButton="0" quotePrefix="0" xfId="3">
      <alignment horizontal="center" vertical="center"/>
    </xf>
    <xf numFmtId="0" fontId="12" fillId="2" borderId="10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6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3" pivotButton="0" quotePrefix="0" xfId="0"/>
    <xf numFmtId="0" fontId="10" fillId="6" borderId="8" applyAlignment="1" pivotButton="0" quotePrefix="0" xfId="0">
      <alignment horizontal="center" vertical="center"/>
    </xf>
    <xf numFmtId="0" fontId="12" fillId="2" borderId="8" applyAlignment="1" pivotButton="0" quotePrefix="0" xfId="0">
      <alignment horizontal="center" vertical="center"/>
    </xf>
    <xf numFmtId="0" fontId="25" fillId="2" borderId="8" applyAlignment="1" pivotButton="0" quotePrefix="0" xfId="0">
      <alignment horizontal="left" vertical="center"/>
    </xf>
    <xf numFmtId="0" fontId="21" fillId="2" borderId="8" applyAlignment="1" pivotButton="0" quotePrefix="0" xfId="0">
      <alignment horizontal="center" vertical="center"/>
    </xf>
    <xf numFmtId="0" fontId="13" fillId="2" borderId="8" applyAlignment="1" pivotButton="0" quotePrefix="0" xfId="0">
      <alignment horizontal="left" vertical="center"/>
    </xf>
    <xf numFmtId="0" fontId="13" fillId="5" borderId="8" applyAlignment="1" pivotButton="0" quotePrefix="0" xfId="0">
      <alignment horizontal="left" vertical="center" wrapText="1"/>
    </xf>
    <xf numFmtId="0" fontId="1" fillId="5" borderId="8" applyAlignment="1" pivotButton="0" quotePrefix="0" xfId="0">
      <alignment horizontal="left" vertical="center" wrapText="1"/>
    </xf>
    <xf numFmtId="14" fontId="13" fillId="4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center" vertical="center"/>
    </xf>
    <xf numFmtId="0" fontId="1" fillId="3" borderId="8" applyAlignment="1" pivotButton="0" quotePrefix="0" xfId="0">
      <alignment horizontal="left"/>
    </xf>
  </cellXfs>
  <cellStyles count="4">
    <cellStyle name="Normal" xfId="0" builtinId="0"/>
    <cellStyle name="超链接 2" xfId="1"/>
    <cellStyle name="千位分隔 2" xfId="2"/>
    <cellStyle name="常规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739588</colOff>
      <row>0</row>
      <rowOff>44823</rowOff>
    </from>
    <to>
      <col>8</col>
      <colOff>925480</colOff>
      <row>3</row>
      <rowOff>214032</rowOff>
    </to>
    <pic>
      <nvPicPr>
        <cNvPr id="2" name="图片 6" descr="LOGO彩色.png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9771" b="959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7941" y="44823"/>
          <a:ext cx="1057262" cy="8751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Ground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roun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21">
    <tabColor rgb="FFFF0000"/>
    <outlinePr summaryBelow="1" summaryRight="1"/>
    <pageSetUpPr/>
  </sheetPr>
  <dimension ref="A1:T48"/>
  <sheetViews>
    <sheetView tabSelected="1" view="pageBreakPreview" topLeftCell="A4" zoomScale="85" zoomScaleNormal="85" zoomScaleSheetLayoutView="85" workbookViewId="0">
      <selection activeCell="C12" sqref="C12:E12"/>
    </sheetView>
  </sheetViews>
  <sheetFormatPr baseColWidth="10" defaultColWidth="9" defaultRowHeight="14.25"/>
  <cols>
    <col width="12.85546875" customWidth="1" style="1" min="1" max="1"/>
    <col width="19.5703125" customWidth="1" style="1" min="2" max="2"/>
    <col width="8" customWidth="1" style="1" min="3" max="3"/>
    <col width="9.5703125" customWidth="1" style="1" min="4" max="4"/>
    <col width="6.42578125" customWidth="1" style="1" min="5" max="5"/>
    <col width="15" customWidth="1" style="1" min="6" max="6"/>
    <col width="22.5703125" customWidth="1" style="1" min="7" max="7"/>
    <col width="10.5703125" customWidth="1" style="1" min="8" max="8"/>
    <col width="20.5703125" customWidth="1" style="1" min="9" max="9"/>
    <col hidden="1" width="2.85546875" customWidth="1" style="1" min="10" max="10"/>
    <col hidden="1" width="14.42578125" customWidth="1" style="1" min="11" max="11"/>
    <col hidden="1" width="9" customWidth="1" style="1" min="12" max="13"/>
    <col hidden="1" width="9.42578125" customWidth="1" style="1" min="14" max="14"/>
    <col width="9" customWidth="1" style="1" min="15" max="16384"/>
  </cols>
  <sheetData>
    <row r="1" ht="25.5" customHeight="1">
      <c r="A1" s="55" t="inlineStr">
        <is>
          <t xml:space="preserve"> Xiamen Mibet New Energy Co., Ltd.</t>
        </is>
      </c>
    </row>
    <row r="2" ht="15.75" customHeight="1"/>
    <row r="3" ht="14.25" customHeight="1">
      <c r="A3" s="59" t="inlineStr">
        <is>
          <t>Lista de verificación de datos del proyecto terrestre</t>
        </is>
      </c>
    </row>
    <row r="4" ht="18.75" customHeight="1"/>
    <row r="5" ht="18.75" customHeight="1">
      <c r="A5" s="62" t="n"/>
    </row>
    <row r="6" ht="14.25" customHeight="1">
      <c r="H6" s="16" t="n"/>
      <c r="I6" s="16" t="n"/>
    </row>
    <row r="7" ht="24.75" customHeight="1">
      <c r="A7" s="60" t="inlineStr">
        <is>
          <t xml:space="preserve"> Nombre del proyecto项目名称:</t>
        </is>
      </c>
      <c r="B7" s="63" t="n"/>
      <c r="C7" s="61" t="inlineStr">
        <is>
          <t>Agrivoltaico Urabá 3.200 m² — 30% ocupación FV bifacial (área paneles: 960 m²)</t>
        </is>
      </c>
      <c r="D7" s="64" t="n"/>
      <c r="E7" s="64" t="n"/>
      <c r="F7" s="64" t="n"/>
      <c r="G7" s="64" t="n"/>
      <c r="H7" s="64" t="n"/>
      <c r="I7" s="63" t="n"/>
      <c r="K7" s="1" t="inlineStr">
        <is>
          <t>郊区</t>
        </is>
      </c>
    </row>
    <row r="8" ht="12" customFormat="1" customHeight="1" s="3">
      <c r="I8" s="4" t="n"/>
      <c r="K8" s="3" t="inlineStr">
        <is>
          <t>海边</t>
        </is>
      </c>
    </row>
    <row r="9" ht="24.75" customFormat="1" customHeight="1" s="3">
      <c r="A9" s="65" t="inlineStr">
        <is>
          <t xml:space="preserve"> Información general基本信息</t>
        </is>
      </c>
      <c r="B9" s="64" t="n"/>
      <c r="C9" s="64" t="n"/>
      <c r="D9" s="64" t="n"/>
      <c r="E9" s="64" t="n"/>
      <c r="F9" s="64" t="n"/>
      <c r="G9" s="64" t="n"/>
      <c r="H9" s="64" t="n"/>
      <c r="I9" s="63" t="n"/>
      <c r="K9" s="3" t="inlineStr">
        <is>
          <t>市区</t>
        </is>
      </c>
      <c r="L9" s="3" t="inlineStr">
        <is>
          <t>倾斜角度越大，成本越高</t>
        </is>
      </c>
    </row>
    <row r="10" ht="19.5" customFormat="1" customHeight="1" s="3">
      <c r="A10" s="66" t="inlineStr">
        <is>
          <t>Información del emplazamiento del proyecto工程地信息</t>
        </is>
      </c>
      <c r="B10" s="64" t="n"/>
      <c r="C10" s="64" t="n"/>
      <c r="D10" s="64" t="n"/>
      <c r="E10" s="64" t="n"/>
      <c r="F10" s="64" t="n"/>
      <c r="G10" s="64" t="n"/>
      <c r="H10" s="64" t="n"/>
      <c r="I10" s="63" t="n"/>
      <c r="K10" s="3" t="inlineStr">
        <is>
          <t>边郊</t>
        </is>
      </c>
      <c r="L10" s="3" t="inlineStr">
        <is>
          <t>基础</t>
        </is>
      </c>
    </row>
    <row r="11" ht="19.5" customFormat="1" customHeight="1" s="3">
      <c r="A11" s="49" t="inlineStr">
        <is>
          <t xml:space="preserve"> *Ciudad城市:</t>
        </is>
      </c>
      <c r="B11" s="63" t="n"/>
      <c r="C11" s="41" t="inlineStr">
        <is>
          <t>Apartadó (Urabá, Antioquia)</t>
        </is>
      </c>
      <c r="D11" s="64" t="n"/>
      <c r="E11" s="63" t="n"/>
      <c r="F11" s="49" t="inlineStr">
        <is>
          <t>*País国家:</t>
        </is>
      </c>
      <c r="G11" s="63" t="n"/>
      <c r="H11" s="41" t="inlineStr">
        <is>
          <t>Colombia</t>
        </is>
      </c>
      <c r="I11" s="63" t="n"/>
      <c r="K11" s="3" t="inlineStr">
        <is>
          <t>离海边距离</t>
        </is>
      </c>
      <c r="L11" s="3" t="inlineStr">
        <is>
          <t>离地高度</t>
        </is>
      </c>
    </row>
    <row r="12" ht="19.5" customFormat="1" customHeight="1" s="3">
      <c r="A12" s="49" t="inlineStr">
        <is>
          <t>*Carga de nieve (kN/m2 )雪载:</t>
        </is>
      </c>
      <c r="B12" s="63" t="n"/>
      <c r="C12" s="41" t="inlineStr">
        <is>
          <t>0 kN/m² (sin carga de nieve — clima tropical)</t>
        </is>
      </c>
      <c r="D12" s="64" t="n"/>
      <c r="E12" s="63" t="n"/>
      <c r="F12" s="67" t="inlineStr">
        <is>
          <t xml:space="preserve"> *Extremadamente Carga de viento (m/s)风速:</t>
        </is>
      </c>
      <c r="G12" s="63" t="n"/>
      <c r="H12" s="41" t="inlineStr">
        <is>
          <t>30 m/s (108 km/h, ráfaga de diseño NSR-10 — confirmar con estudio local)</t>
        </is>
      </c>
      <c r="I12" s="63" t="n"/>
      <c r="K12" s="3" t="inlineStr">
        <is>
          <t>海拔</t>
        </is>
      </c>
      <c r="L12" s="3" t="n">
        <v>80</v>
      </c>
    </row>
    <row r="13" ht="19.5" customFormat="1" customHeight="1" s="3">
      <c r="A13" s="38" t="inlineStr">
        <is>
          <t xml:space="preserve"> Longitud经度:</t>
        </is>
      </c>
      <c r="B13" s="63" t="n"/>
      <c r="C13" s="41" t="inlineStr">
        <is>
          <t>-76.635°</t>
        </is>
      </c>
      <c r="D13" s="64" t="n"/>
      <c r="E13" s="63" t="n"/>
      <c r="F13" s="38" t="inlineStr">
        <is>
          <t xml:space="preserve"> *Latitud纬度:</t>
        </is>
      </c>
      <c r="G13" s="63" t="n"/>
      <c r="H13" s="26" t="inlineStr">
        <is>
          <t>7.884°</t>
        </is>
      </c>
      <c r="I13" s="63" t="n"/>
      <c r="K13" s="3" t="inlineStr">
        <is>
          <t>计算书全部考虑,然后做模拟测算,确保安全性</t>
        </is>
      </c>
      <c r="L13" s="3" t="n">
        <v>75</v>
      </c>
    </row>
    <row r="14" ht="19.5" customFormat="1" customHeight="1" s="3">
      <c r="A14" s="68" t="inlineStr">
        <is>
          <t xml:space="preserve"> Información del panel电池板信息</t>
        </is>
      </c>
      <c r="B14" s="64" t="n"/>
      <c r="C14" s="64" t="n"/>
      <c r="D14" s="64" t="n"/>
      <c r="E14" s="64" t="n"/>
      <c r="F14" s="64" t="n"/>
      <c r="G14" s="64" t="n"/>
      <c r="H14" s="64" t="n"/>
      <c r="I14" s="63" t="n"/>
      <c r="L14" s="3" t="n">
        <v>0.045</v>
      </c>
      <c r="M14" s="3" t="inlineStr">
        <is>
          <t>70 m/s</t>
        </is>
      </c>
    </row>
    <row r="15" ht="19.5" customFormat="1" customHeight="1" s="3">
      <c r="A15" s="49" t="inlineStr">
        <is>
          <t>*Longitud (mm)长:</t>
        </is>
      </c>
      <c r="B15" s="63" t="n"/>
      <c r="C15" s="41" t="n">
        <v>2384</v>
      </c>
      <c r="D15" s="64" t="n"/>
      <c r="E15" s="63" t="n"/>
      <c r="F15" s="49" t="inlineStr">
        <is>
          <t xml:space="preserve"> *Ancho (mm)宽:</t>
        </is>
      </c>
      <c r="G15" s="63" t="n"/>
      <c r="H15" s="41" t="n">
        <v>1303</v>
      </c>
      <c r="I15" s="63" t="n"/>
      <c r="L15" s="3" t="n">
        <v>0.03</v>
      </c>
      <c r="M15" s="3" t="inlineStr">
        <is>
          <t>40 m/s</t>
        </is>
      </c>
    </row>
    <row r="16" ht="19.5" customFormat="1" customHeight="1" s="3">
      <c r="A16" s="49" t="inlineStr">
        <is>
          <t>*Altura (mm)高:</t>
        </is>
      </c>
      <c r="B16" s="63" t="n"/>
      <c r="C16" s="41" t="n">
        <v>33</v>
      </c>
      <c r="D16" s="64" t="n"/>
      <c r="E16" s="63" t="n"/>
      <c r="F16" s="49" t="inlineStr">
        <is>
          <t>* Fuerza (Wp)功率:</t>
        </is>
      </c>
      <c r="G16" s="63" t="n"/>
      <c r="H16" s="41" t="n">
        <v>720</v>
      </c>
      <c r="I16" s="63" t="n"/>
      <c r="L16" s="3" t="n">
        <v>70</v>
      </c>
    </row>
    <row r="17" ht="19.5" customFormat="1" customHeight="1" s="3">
      <c r="A17" s="49" t="inlineStr">
        <is>
          <t>*Peso (kg)重量:</t>
        </is>
      </c>
      <c r="B17" s="63" t="n"/>
      <c r="C17" s="41" t="inlineStr">
        <is>
          <t>38.5 kg (doble vidrio — confirmar en ficha)</t>
        </is>
      </c>
      <c r="D17" s="64" t="n"/>
      <c r="E17" s="63" t="n"/>
      <c r="F17" s="69" t="inlineStr">
        <is>
          <t xml:space="preserve"> Marca y modelo del módulo品牌:</t>
        </is>
      </c>
      <c r="G17" s="63" t="n"/>
      <c r="H17" s="41" t="inlineStr">
        <is>
          <t>JA Solar JAM66D46-720/LB — N-Type TOPCon bifacial 80%±5%, doble vidrio</t>
        </is>
      </c>
      <c r="I17" s="63" t="n"/>
      <c r="L17" s="3" t="inlineStr">
        <is>
          <t>铝合金</t>
        </is>
      </c>
      <c r="N17" s="3" t="inlineStr">
        <is>
          <t>不加螺旋地桩铝合金</t>
        </is>
      </c>
    </row>
    <row r="18" ht="19.5" customFormat="1" customHeight="1" s="3">
      <c r="A18" s="68" t="inlineStr">
        <is>
          <t>Información/plano de la disposición de los paneles solares排布信息</t>
        </is>
      </c>
      <c r="B18" s="64" t="n"/>
      <c r="C18" s="64" t="n"/>
      <c r="D18" s="64" t="n"/>
      <c r="E18" s="64" t="n"/>
      <c r="F18" s="64" t="n"/>
      <c r="G18" s="64" t="n"/>
      <c r="H18" s="64" t="n"/>
      <c r="I18" s="63" t="n"/>
      <c r="L18" s="3" t="inlineStr">
        <is>
          <t>0,065 dólares</t>
        </is>
      </c>
      <c r="N18" s="3" t="inlineStr">
        <is>
          <t>1-1,5 MW</t>
        </is>
      </c>
    </row>
    <row r="19" ht="45" customFormat="1" customHeight="1" s="3">
      <c r="A19" s="70" t="inlineStr">
        <is>
          <t xml:space="preserve"> *Número de filas y columnas por matriz (unidad)排布:</t>
        </is>
      </c>
      <c r="B19" s="63" t="n"/>
      <c r="C19" s="41" t="inlineStr">
        <is>
          <t>2 filas × 9 columnas = 18 paneles por matriz (múltiplo de string)</t>
        </is>
      </c>
      <c r="D19" s="64" t="n"/>
      <c r="E19" s="63" t="n"/>
      <c r="F19" s="71" t="inlineStr">
        <is>
          <t xml:space="preserve"> *Orientación del panel (horizontal/vertical)电池板朝向:</t>
        </is>
      </c>
      <c r="G19" s="63" t="n"/>
      <c r="H19" s="41" t="inlineStr">
        <is>
          <t>Horizontal (apaisado — recomendado agrivoltaico)</t>
        </is>
      </c>
      <c r="I19" s="63" t="n"/>
      <c r="K19" s="3" t="inlineStr">
        <is>
          <t>多少片板一串接入逆变器</t>
        </is>
      </c>
      <c r="N19" s="3" t="inlineStr">
        <is>
          <t>2 MW</t>
        </is>
      </c>
    </row>
    <row r="20" ht="25.9" customFormat="1" customHeight="1" s="3">
      <c r="A20" s="49" t="inlineStr">
        <is>
          <t xml:space="preserve"> *Número de matrices (unidades)阵列数量:</t>
        </is>
      </c>
      <c r="B20" s="63" t="n"/>
      <c r="C20" s="41" t="n">
        <v>17</v>
      </c>
      <c r="D20" s="64" t="n"/>
      <c r="E20" s="63" t="n"/>
      <c r="F20" s="49" t="inlineStr">
        <is>
          <t xml:space="preserve"> *Número total de paneles电池板总量:</t>
        </is>
      </c>
      <c r="G20" s="63" t="n"/>
      <c r="H20" s="26" t="n">
        <v>306</v>
      </c>
      <c r="I20" s="63" t="n"/>
      <c r="K20" s="3" t="inlineStr">
        <is>
          <t>一串的倍数做排布以便接线</t>
        </is>
      </c>
    </row>
    <row r="21" ht="30" customFormat="1" customHeight="1" s="3">
      <c r="A21" s="49" t="inlineStr">
        <is>
          <t xml:space="preserve"> *Potencia total总功率:</t>
        </is>
      </c>
      <c r="B21" s="63" t="n"/>
      <c r="C21" s="54">
        <f>H20*H16</f>
        <v/>
      </c>
      <c r="D21" s="64" t="n"/>
      <c r="E21" s="10" t="inlineStr">
        <is>
          <t>w</t>
        </is>
      </c>
      <c r="F21" s="49" t="n"/>
      <c r="G21" s="63" t="n"/>
      <c r="H21" s="26" t="n"/>
      <c r="I21" s="63" t="n"/>
      <c r="K21" s="3" t="inlineStr">
        <is>
          <t>小项目的话,土地面积限制</t>
        </is>
      </c>
    </row>
    <row r="22" ht="24.95" customFormat="1" customHeight="1" s="3">
      <c r="A22" s="65" t="inlineStr">
        <is>
          <t xml:space="preserve"> Información del proyecto terrestre地面信息</t>
        </is>
      </c>
      <c r="B22" s="64" t="n"/>
      <c r="C22" s="64" t="n"/>
      <c r="D22" s="64" t="n"/>
      <c r="E22" s="64" t="n"/>
      <c r="F22" s="64" t="n"/>
      <c r="G22" s="64" t="n"/>
      <c r="H22" s="64" t="n"/>
      <c r="I22" s="63" t="n"/>
    </row>
    <row r="23" ht="55.15" customFormat="1" customHeight="1" s="3">
      <c r="A23" s="67" t="inlineStr">
        <is>
          <t xml:space="preserve"> *Ángulo de inclinación del panel安装角度:</t>
        </is>
      </c>
      <c r="B23" s="63" t="n"/>
      <c r="C23" s="72" t="inlineStr">
        <is>
          <t>10° (latitud 7.9° — óptimo trópico)</t>
        </is>
      </c>
      <c r="D23" s="64" t="n"/>
      <c r="E23" s="63" t="n"/>
      <c r="F23" s="70" t="inlineStr">
        <is>
          <t>*Distancia al suelo离地高度(La distancia entre el borde inferior del panel y el suelo)</t>
        </is>
      </c>
      <c r="G23" s="63" t="n"/>
      <c r="H23" s="73" t="inlineStr">
        <is>
          <t>2.5 m (agrivoltaico: paso de cultivo/maquinaria bajo los paneles)</t>
        </is>
      </c>
      <c r="I23" s="63" t="n"/>
      <c r="K23" s="3" t="inlineStr">
        <is>
          <t>ｚｎ－ａｌ－ｍｇ ｃｏａｔｉｎｇ</t>
        </is>
      </c>
    </row>
    <row r="24" ht="71.45" customFormat="1" customHeight="1" s="3">
      <c r="A24" s="74" t="inlineStr">
        <is>
          <t xml:space="preserve"> *Cimentación (Cimentación de hormigón / Tornillo de tierra / Columna apisonada)基础:</t>
        </is>
      </c>
      <c r="B24" s="63" t="n"/>
      <c r="C24" s="75" t="inlineStr">
        <is>
          <t>Tornillo de tierra (se enviará informe de suelo) — alternativa: hormigón</t>
        </is>
      </c>
      <c r="D24" s="64" t="n"/>
      <c r="E24" s="63" t="n"/>
      <c r="F24" s="70" t="inlineStr">
        <is>
          <t xml:space="preserve"> *Material estructural材料(ZAM (Magnesil)/Acero galvanizado/Aluminio):</t>
        </is>
      </c>
      <c r="G24" s="63" t="n"/>
      <c r="H24" s="73" t="inlineStr">
        <is>
          <t>ZAM (Magnesil) — recomendado por clima tropical húmedo</t>
        </is>
      </c>
      <c r="I24" s="63" t="n"/>
    </row>
    <row r="25" ht="35.45" customFormat="1" customHeight="1" s="3">
      <c r="A25" s="69" t="inlineStr">
        <is>
          <t xml:space="preserve"> Textura del suelo地质条件:</t>
        </is>
      </c>
      <c r="B25" s="63" t="n"/>
      <c r="C25" s="76" t="inlineStr">
        <is>
          <t>Pendiente informe de análisis de suelo (suelo aluvial típico del Urabá)</t>
        </is>
      </c>
      <c r="D25" s="64" t="n"/>
      <c r="E25" s="63" t="n"/>
      <c r="F25" s="38" t="n"/>
      <c r="G25" s="63" t="n"/>
      <c r="H25" s="26" t="n"/>
      <c r="I25" s="63" t="n"/>
    </row>
    <row r="26" ht="19.5" customFormat="1" customHeight="1" s="3">
      <c r="A26" s="69" t="inlineStr">
        <is>
          <t xml:space="preserve"> Diseño del proyecto, fotos del sitio del proyecto y otros requisitos.排布图/项目图纸:</t>
        </is>
      </c>
      <c r="B26" s="64" t="n"/>
      <c r="C26" s="64" t="n"/>
      <c r="D26" s="64" t="n"/>
      <c r="E26" s="64" t="n"/>
      <c r="F26" s="64" t="n"/>
      <c r="G26" s="64" t="n"/>
      <c r="H26" s="64" t="n"/>
      <c r="I26" s="63" t="n"/>
    </row>
    <row r="27" ht="19.5" customFormat="1" customHeight="1" s="3">
      <c r="A27" s="6" t="n"/>
      <c r="B27" s="7" t="n"/>
      <c r="C27" s="7" t="inlineStr">
        <is>
          <t>Agrivoltaico: 3.200 m² de terreno, ocupación FV 30% (960 m²). Estructura elevada 2.5 m con corredores entre matrices para cultivo. Plano de disposición se enviará junto con el informe de suelo.</t>
        </is>
      </c>
      <c r="D27" s="7" t="n"/>
      <c r="E27" s="7" t="n"/>
      <c r="F27" s="7" t="n"/>
      <c r="G27" s="7" t="n"/>
      <c r="H27" s="7" t="n"/>
      <c r="I27" s="8" t="n"/>
    </row>
    <row r="28">
      <c r="A28" s="5" t="n"/>
      <c r="I28" s="2" t="n"/>
    </row>
    <row r="29">
      <c r="A29" s="5" t="n"/>
      <c r="I29" s="2" t="n"/>
    </row>
    <row r="30">
      <c r="A30" s="5" t="n"/>
      <c r="I30" s="2" t="n"/>
    </row>
    <row r="31">
      <c r="A31" s="5" t="n"/>
      <c r="I31" s="2" t="n"/>
    </row>
    <row r="32">
      <c r="A32" s="5" t="n"/>
      <c r="I32" s="2" t="n"/>
    </row>
    <row r="33">
      <c r="A33" s="5" t="n"/>
      <c r="I33" s="2" t="n"/>
    </row>
    <row r="34">
      <c r="A34" s="5" t="n"/>
      <c r="I34" s="2" t="n"/>
    </row>
    <row r="35">
      <c r="A35" s="5" t="n"/>
      <c r="I35" s="2" t="n"/>
    </row>
    <row r="36">
      <c r="A36" s="5" t="n"/>
      <c r="I36" s="2" t="n"/>
    </row>
    <row r="37">
      <c r="A37" s="5" t="n"/>
      <c r="I37" s="2" t="n"/>
    </row>
    <row r="38">
      <c r="A38" s="5" t="n"/>
      <c r="I38" s="2" t="n"/>
    </row>
    <row r="39" ht="15.95" customHeight="1">
      <c r="A39" s="77" t="inlineStr">
        <is>
          <t xml:space="preserve"> Si necesita ayuda para completar este formulario, póngase en contacto con su representante de ventas.</t>
        </is>
      </c>
      <c r="B39" s="64" t="n"/>
      <c r="C39" s="64" t="n"/>
      <c r="D39" s="64" t="n"/>
      <c r="E39" s="64" t="n"/>
      <c r="F39" s="64" t="n"/>
      <c r="G39" s="64" t="n"/>
      <c r="H39" s="64" t="n"/>
      <c r="I39" s="63" t="n"/>
    </row>
    <row r="40" ht="8.25" customHeight="1">
      <c r="A40" s="9" t="n"/>
      <c r="B40" s="9" t="n"/>
      <c r="C40" s="9" t="n"/>
      <c r="D40" s="9" t="n"/>
      <c r="E40" s="9" t="n"/>
      <c r="F40" s="9" t="n"/>
      <c r="G40" s="9" t="n"/>
      <c r="H40" s="9" t="n"/>
    </row>
    <row r="41" customFormat="1" s="15">
      <c r="A41" s="15" t="inlineStr">
        <is>
          <t>Notas:</t>
        </is>
      </c>
    </row>
    <row r="42" ht="15.95" customFormat="1" customHeight="1" s="11">
      <c r="A42" s="12" t="inlineStr">
        <is>
          <t>1) Los elementos marcados con "*" son información clave y es mejor ofrecerlos; la demás información son campos opcionales.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 ht="15.95" customFormat="1" customHeight="1" s="13">
      <c r="A43" s="13" t="inlineStr">
        <is>
          <t>2) Proporcione al menos uno de los siguientes elementos: "Latitud y longitud", "Ángulo de inclinación", "Ubicación".</t>
        </is>
      </c>
    </row>
    <row r="44" ht="15.95" customFormat="1" customHeight="1" s="14">
      <c r="A44" s="17" t="inlineStr">
        <is>
          <t>3) Si elige tornillos de tierra/postes hincados como cimentación, se necesita un informe del suelo; de lo contrario, se considera factible el pilotaje.</t>
        </is>
      </c>
    </row>
    <row r="45" ht="15.95" customFormat="1" customHeight="1" s="11">
      <c r="A45" s="12" t="inlineStr">
        <is>
          <t>4) Si no se proporciona la "información de diseño", proporcione las condiciones del sitio de instalación, que se considerarán como aceptación.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 ht="15.95" customFormat="1" customHeight="1" s="11">
      <c r="A46" s="12" t="inlineStr">
        <is>
          <t xml:space="preserve"> Recomendación de Mibet.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 ht="15.95" customFormat="1" customHeight="1" s="13">
      <c r="A47" s="13" t="inlineStr">
        <is>
          <t xml:space="preserve"> 5) Por favor, proporcione al menos uno de los siguientes artículos:Paneles totales oPotencia total.</t>
        </is>
      </c>
    </row>
    <row r="48" ht="15.95" customFormat="1" customHeight="1" s="13">
      <c r="A48" s="13" t="inlineStr">
        <is>
          <t>6) Si no se proporciona la "Orientación del panel", se considera que acepta la recomendación de Mibet.</t>
        </is>
      </c>
    </row>
  </sheetData>
  <mergeCells count="60">
    <mergeCell ref="C16:E16"/>
    <mergeCell ref="F11:G11"/>
    <mergeCell ref="A24:B24"/>
    <mergeCell ref="H20:I20"/>
    <mergeCell ref="A15:B15"/>
    <mergeCell ref="F16:G16"/>
    <mergeCell ref="A11:B11"/>
    <mergeCell ref="F19:G19"/>
    <mergeCell ref="F25:G25"/>
    <mergeCell ref="A18:I18"/>
    <mergeCell ref="C7:I7"/>
    <mergeCell ref="C12:E12"/>
    <mergeCell ref="A26:I26"/>
    <mergeCell ref="F21:G21"/>
    <mergeCell ref="H25:I25"/>
    <mergeCell ref="C11:E11"/>
    <mergeCell ref="H21:I21"/>
    <mergeCell ref="A16:B16"/>
    <mergeCell ref="A7:B7"/>
    <mergeCell ref="F15:G15"/>
    <mergeCell ref="A5:I5"/>
    <mergeCell ref="F12:G12"/>
    <mergeCell ref="A25:B25"/>
    <mergeCell ref="C23:E23"/>
    <mergeCell ref="A14:I14"/>
    <mergeCell ref="F20:G20"/>
    <mergeCell ref="A1:I2"/>
    <mergeCell ref="C17:E17"/>
    <mergeCell ref="A22:I22"/>
    <mergeCell ref="F24:G24"/>
    <mergeCell ref="F17:G17"/>
    <mergeCell ref="H17:I17"/>
    <mergeCell ref="A12:B12"/>
    <mergeCell ref="H11:I11"/>
    <mergeCell ref="A21:B21"/>
    <mergeCell ref="C21:D21"/>
    <mergeCell ref="C13:E13"/>
    <mergeCell ref="A10:I10"/>
    <mergeCell ref="C19:E19"/>
    <mergeCell ref="H16:I16"/>
    <mergeCell ref="F23:G23"/>
    <mergeCell ref="A9:I9"/>
    <mergeCell ref="H19:I19"/>
    <mergeCell ref="F13:G13"/>
    <mergeCell ref="A3:I4"/>
    <mergeCell ref="A17:B17"/>
    <mergeCell ref="H13:I13"/>
    <mergeCell ref="C15:E15"/>
    <mergeCell ref="A39:I39"/>
    <mergeCell ref="A23:B23"/>
    <mergeCell ref="C24:E24"/>
    <mergeCell ref="A20:B20"/>
    <mergeCell ref="H12:I12"/>
    <mergeCell ref="A19:B19"/>
    <mergeCell ref="H24:I24"/>
    <mergeCell ref="H15:I15"/>
    <mergeCell ref="A13:B13"/>
    <mergeCell ref="H23:I23"/>
    <mergeCell ref="C20:E20"/>
    <mergeCell ref="C25:E25"/>
  </mergeCells>
  <printOptions horizontalCentered="1"/>
  <pageMargins left="0.2362204724409449" right="0.1574803149606299" top="0.1574803149606299" bottom="0.1574803149606299" header="0.1574803149606299" footer="0.1574803149606299"/>
  <pageSetup orientation="portrait" paperSize="9" scale="7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陈浩dennis</dc:creator>
  <dcterms:created xmlns:dcterms="http://purl.org/dc/terms/" xmlns:xsi="http://www.w3.org/2001/XMLSchema-instance" xsi:type="dcterms:W3CDTF">2010-07-19T04:49:45Z</dcterms:created>
  <dcterms:modified xmlns:dcterms="http://purl.org/dc/terms/" xmlns:xsi="http://www.w3.org/2001/XMLSchema-instance" xsi:type="dcterms:W3CDTF">2026-08-06T12:31:23Z</dcterms:modified>
  <cp:lastModifiedBy>Mauricio Alcaraz</cp:lastModifiedBy>
  <cp:lastPrinted>2016-10-24T05:48:16Z</cp:lastPrinted>
</cp:coreProperties>
</file>