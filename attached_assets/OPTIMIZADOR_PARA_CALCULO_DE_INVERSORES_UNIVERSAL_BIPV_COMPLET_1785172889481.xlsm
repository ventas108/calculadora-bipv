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omments1.xml" ContentType="application/vnd.openxmlformats-officedocument.spreadsheetml.comments+xml"/>
  <Override PartName="/xl/drawings/drawing6.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Mauricio\Desktop\OPTIMIZADOR PARA CALCULOS BIPV\CALCULADORA BIPV COMPLETA  ULTIMA 010726\CALCULADORAS  COMPLETAS OPTIMIZADOR BIPV Y INVERSOR CON FF\"/>
    </mc:Choice>
  </mc:AlternateContent>
  <xr:revisionPtr revIDLastSave="0" documentId="13_ncr:1_{4B7A6CB9-DDC4-4561-BA1F-D58FB4252ACB}" xr6:coauthVersionLast="47" xr6:coauthVersionMax="47" xr10:uidLastSave="{00000000-0000-0000-0000-000000000000}"/>
  <bookViews>
    <workbookView xWindow="-120" yWindow="-120" windowWidth="25440" windowHeight="15390" tabRatio="720" firstSheet="4" activeTab="4" xr2:uid="{00000000-000D-0000-FFFF-FFFF00000000}"/>
  </bookViews>
  <sheets>
    <sheet name="Datos_Proyecto_Consumo" sheetId="7" r:id="rId1"/>
    <sheet name="Datos_Tecnicos" sheetId="1" r:id="rId2"/>
    <sheet name="Dimensionamiento_String" sheetId="2" r:id="rId3"/>
    <sheet name="Resultado_Dim_String" sheetId="6" r:id="rId4"/>
    <sheet name="Optimizacion_String" sheetId="10" r:id="rId5"/>
    <sheet name="Analisis_Mismatch_MPPT" sheetId="11" r:id="rId6"/>
    <sheet name="FF_vs_Irradiancia" sheetId="12" r:id="rId7"/>
    <sheet name="FF_vs_G_TReal" sheetId="13" r:id="rId8"/>
    <sheet name="Paneles_Comparativa" sheetId="14" r:id="rId9"/>
    <sheet name="FF_Comparativo_Paneles" sheetId="15" r:id="rId10"/>
    <sheet name="Catalogo_Inversores" sheetId="16" r:id="rId11"/>
    <sheet name="Mismatch_ASP-ST1-T40" sheetId="17" r:id="rId12"/>
    <sheet name="Log_Mismatch_Historico" sheetId="18" r:id="rId13"/>
    <sheet name="Log_Advertencias" sheetId="19" r:id="rId14"/>
    <sheet name="Mapa_Datos" sheetId="20" r:id="rId15"/>
    <sheet name="Importar_Temporal" sheetId="21" r:id="rId16"/>
  </sheets>
  <functionGroups builtInGroupCount="19"/>
  <definedNames>
    <definedName name="_xlnm._FilterDatabase" localSheetId="15" hidden="1">Importar_Temporal!$A$4:$M$4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 xmlns:loext="http://schemas.libreoffice.org/" uri="{7626C862-2A13-11E5-B345-FEFF819CDC9F}">
      <loext:extCalcPr stringRefSyntax="ExcelA1"/>
    </ext>
  </extLst>
</workbook>
</file>

<file path=xl/calcChain.xml><?xml version="1.0" encoding="utf-8"?>
<calcChain xmlns="http://schemas.openxmlformats.org/spreadsheetml/2006/main">
  <c r="B52" i="1" l="1"/>
  <c r="B49" i="1" l="1"/>
  <c r="B46" i="1"/>
  <c r="B32" i="2" l="1"/>
  <c r="B35" i="2" s="1"/>
  <c r="C22" i="2"/>
  <c r="C24" i="2" s="1"/>
  <c r="C25" i="2" s="1"/>
  <c r="B22" i="2"/>
  <c r="B23" i="2" s="1"/>
  <c r="C16" i="2"/>
  <c r="C17" i="2" s="1"/>
  <c r="B16" i="2"/>
  <c r="B17" i="2" s="1"/>
  <c r="C13" i="2"/>
  <c r="C14" i="2" s="1"/>
  <c r="B13" i="2"/>
  <c r="B14" i="2" s="1"/>
  <c r="C6" i="2"/>
  <c r="C7" i="2" s="1"/>
  <c r="B6" i="2"/>
  <c r="B7" i="2" s="1"/>
  <c r="B41" i="1"/>
  <c r="B42" i="1" s="1"/>
  <c r="B15" i="2" l="1"/>
  <c r="B43" i="2"/>
  <c r="B44" i="2"/>
  <c r="B18" i="2"/>
  <c r="B9" i="2"/>
  <c r="B8" i="2"/>
  <c r="B42" i="2" s="1"/>
  <c r="C44" i="2"/>
  <c r="C18" i="2"/>
  <c r="C9" i="2"/>
  <c r="C8" i="2"/>
  <c r="C42" i="2" s="1"/>
  <c r="C47" i="2" s="1"/>
  <c r="C28" i="2"/>
  <c r="C27" i="2"/>
  <c r="C26" i="2"/>
  <c r="C45" i="2" s="1"/>
  <c r="C15" i="2"/>
  <c r="C43" i="2"/>
  <c r="C23" i="2"/>
  <c r="B24" i="2"/>
  <c r="B25" i="2" s="1"/>
  <c r="B34" i="2"/>
  <c r="B33" i="2"/>
  <c r="B28" i="2" l="1"/>
  <c r="B27" i="2"/>
  <c r="B26" i="2"/>
  <c r="B45" i="2" s="1"/>
  <c r="B4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Mauricio Alcaraz</author>
  </authors>
  <commentList>
    <comment ref="I33" authorId="0" shapeId="0" xr:uid="{78B55C27-EED7-417F-9260-6717118591E1}">
      <text>
        <r>
          <rPr>
            <b/>
            <sz val="9"/>
            <color indexed="81"/>
            <rFont val="Tahoma"/>
            <family val="2"/>
          </rPr>
          <t>Mauricio Alcaraz:</t>
        </r>
        <r>
          <rPr>
            <sz val="9"/>
            <color indexed="81"/>
            <rFont val="Tahoma"/>
            <family val="2"/>
          </rPr>
          <t xml:space="preserve">
2=1+1</t>
        </r>
      </text>
    </comment>
    <comment ref="I34" authorId="0" shapeId="0" xr:uid="{ECEB6043-9E4F-4702-B5EB-8480A4EDA744}">
      <text>
        <r>
          <rPr>
            <b/>
            <sz val="9"/>
            <color indexed="81"/>
            <rFont val="Tahoma"/>
            <family val="2"/>
          </rPr>
          <t>Mauricio Alcaraz:</t>
        </r>
        <r>
          <rPr>
            <sz val="9"/>
            <color indexed="81"/>
            <rFont val="Tahoma"/>
            <family val="2"/>
          </rPr>
          <t xml:space="preserve">
2=2+1</t>
        </r>
      </text>
    </comment>
  </commentList>
</comments>
</file>

<file path=xl/sharedStrings.xml><?xml version="1.0" encoding="utf-8"?>
<sst xmlns="http://schemas.openxmlformats.org/spreadsheetml/2006/main" count="1661" uniqueCount="754">
  <si>
    <t>1. PANEL FOTOVOLTAICO — ASP-ST1-T40 (SolTech Energy LaTam)</t>
  </si>
  <si>
    <t>Parametro</t>
  </si>
  <si>
    <t>Valor</t>
  </si>
  <si>
    <t>Unidad</t>
  </si>
  <si>
    <t>Fuente</t>
  </si>
  <si>
    <t>V</t>
  </si>
  <si>
    <t>Ficha_Tec_Vidrios_FV_SolTech_1200x600.pdf</t>
  </si>
  <si>
    <t>Vmp (voltaje pico, STC)</t>
  </si>
  <si>
    <t>Isc (cortocircuito, STC)</t>
  </si>
  <si>
    <t>A</t>
  </si>
  <si>
    <t>W</t>
  </si>
  <si>
    <t>%/C</t>
  </si>
  <si>
    <t>Ficha_Tecnica_Inversores_GROWATT_MID15_25KTL3X.docx</t>
  </si>
  <si>
    <t>un</t>
  </si>
  <si>
    <t>C</t>
  </si>
  <si>
    <t>Supuesto conservador Bogota — AJUSTABLE</t>
  </si>
  <si>
    <t>Estimado NOCT+irradiancia Bogota — AJUSTABLE</t>
  </si>
  <si>
    <t>Ficha_Tecnica_Inversores... (dia muy caluroso) — AJUSTABLE</t>
  </si>
  <si>
    <t>x</t>
  </si>
  <si>
    <t>Ficha_Tecnica_Inversores_GROWATT_MID15_25KTL3X.docx, formula seccion 3</t>
  </si>
  <si>
    <t>Ajustado desde 182 (real original) a 184 para calzar exacto con 23 strings x 8 paneles (Opcion B). Verificado: 184 x 0.72 m2/panel = 132.48 m2 &lt;= 200 m2 disponibles.</t>
  </si>
  <si>
    <t>4. DEMANDA ENERGETICA DEL PROYECTO (SOLO INFORMATIVA — NO alimenta N_paneles, que usa el valor REAL instalado de la fila 34)</t>
  </si>
  <si>
    <t>Energia objetivo anual (kWh) — Resultado_Dim_Consumo fila 9</t>
  </si>
  <si>
    <t>kWh</t>
  </si>
  <si>
    <t>Copiar manualmente de Resultado_Dim_Consumo, fila 9, del libro OPTIMIZADOR BIPV principal</t>
  </si>
  <si>
    <t>Productividad especifica (kWh/kWp/ano) — Resultado_Dim_Consumo fila 11</t>
  </si>
  <si>
    <t>kWh/kWp/ano</t>
  </si>
  <si>
    <t>Copiar manualmente de Resultado_Dim_Consumo, fila 11, del libro OPTIMIZADOR BIPV principal</t>
  </si>
  <si>
    <t>kWp necesarios (derivado de la demanda, informativo):</t>
  </si>
  <si>
    <t>kWp</t>
  </si>
  <si>
    <t>N paneles teorico SIN restriccion de area (solo referencia, NO USADO en el string sizing):</t>
  </si>
  <si>
    <t>Informativo unicamente: cuantos paneles se necesitarian sin el limite de 200 m2. NO usado en el calculo.</t>
  </si>
  <si>
    <t>Umbral de alerta (margen minimo aceptable sobre el limite, %)</t>
  </si>
  <si>
    <t>%</t>
  </si>
  <si>
    <t>Si el margen sobre el limite es MENOR a este umbral, se marca ALERTA (amarillo) aunque tecnicamente pase.</t>
  </si>
  <si>
    <t>COMPARATIVO: 2 escenarios de paneles en serie por string</t>
  </si>
  <si>
    <t>Variable</t>
  </si>
  <si>
    <t>Opcion A: 7 paneles/string</t>
  </si>
  <si>
    <t>Opcion B: 8 paneles/string</t>
  </si>
  <si>
    <t>Formula / comentario</t>
  </si>
  <si>
    <t>Supuesto de diseno a comparar</t>
  </si>
  <si>
    <t>Voc corregido a temp. minima diseno</t>
  </si>
  <si>
    <t>Voc_stc*(1+CoefVoc/100*(Tmin-25))</t>
  </si>
  <si>
    <t>Voc string (peor caso frio)</t>
  </si>
  <si>
    <t>N paneles x Voc corregido</t>
  </si>
  <si>
    <t>1100V / Voc_string — debe ser mayor a 1.0</t>
  </si>
  <si>
    <t>Voc_string debe ser &lt;= 1100V</t>
  </si>
  <si>
    <t>Vmp_stc*(1+CoefVoc/100*(Tmax_real-25)) — coef Voc usado como proxy</t>
  </si>
  <si>
    <t>N paneles x Vmp corregido</t>
  </si>
  <si>
    <t>Vmp_string debe ser &gt;= 580V para MPPT activo</t>
  </si>
  <si>
    <t>Idem, con Tmax extremo (70C, dia muy caluroso)</t>
  </si>
  <si>
    <t>N paneles x Vmp corregido extremo</t>
  </si>
  <si>
    <t>Margen critico en dia extremo — verificar antes de decidir</t>
  </si>
  <si>
    <t>N paneles proyecto / N paneles por string</t>
  </si>
  <si>
    <t>Verificar vs 182 paneles disponibles del proyecto</t>
  </si>
  <si>
    <t>N strings totales / 2 MPPT, agregados via cajas combinadoras</t>
  </si>
  <si>
    <t>Isc_panel x N strings/tracker x 1.25 (formula ficha inversor)</t>
  </si>
  <si>
    <t>27A / corriente equivalente — debe ser mayor a 1.0</t>
  </si>
  <si>
    <t>33.8A / corriente equivalente</t>
  </si>
  <si>
    <t>Corriente equivalente debe ser &lt;= 27A</t>
  </si>
  <si>
    <t>N paneles proyecto x Pmax panel</t>
  </si>
  <si>
    <t>Potencia FV total / Potencia AC nominal (15000W)</t>
  </si>
  <si>
    <t>22.500W / Potencia FV total instalada</t>
  </si>
  <si>
    <t>Potencia FV instalada debe ser &lt;= 22.500W</t>
  </si>
  <si>
    <t>CONCLUSION TECNICA</t>
  </si>
  <si>
    <t>La corriente NUNCA es el factor limitante en este diseno: el panel ASP-ST1-T40 tiene Isc=0.80A, muy por debajo de los limites de 27A (nominal) y 33.8A (cortocircuito) por tracker MPPT, incluso agregando 13 strings en paralelo via cajas combinadoras (margen de seguridad &gt;2.0x en ambas opciones). El factor limitante real es la TENSION: la Opcion A (7 paneles/string) puede quedar por debajo de 580V (tension minima MPPT activo) en dias calurosos, especialmente en el escenario extremo. La Opcion B (8 paneles/string) mantiene mejor margen en caliente, pero debe verificarse que 182 no es multiplo exacto de 8 (requeriria ajustar a 176 u otro numero de paneles, o aceptar un string mixto). Se recomienda revisar con el proyectista antes de fijar la configuracion final de strings.</t>
  </si>
  <si>
    <t>PANEL DE ALERTAS - VERIFICACIONES CRITICAS CON MARGEN DE SEGURIDAD (umbral editable en Datos_Tecnicos)</t>
  </si>
  <si>
    <t>Verificacion</t>
  </si>
  <si>
    <t>Opcion A</t>
  </si>
  <si>
    <t>Opcion B</t>
  </si>
  <si>
    <t>1) Tension DC maxima (vs limite absoluto)</t>
  </si>
  <si>
    <t>2) Tension minima MPPT activo - escenario realista</t>
  </si>
  <si>
    <t>3) Tension minima MPPT activo - escenario extremo</t>
  </si>
  <si>
    <t>4) Corriente maxima por tracker MPPT</t>
  </si>
  <si>
    <t>Verificaciones en riesgo (ALERTA o FALLA), de 4:</t>
  </si>
  <si>
    <t>Opcion B, ya validada en Dimensionamiento_String!C24</t>
  </si>
  <si>
    <t>N strings en paralelo por tracker MPPT (via cajas combinadoras)</t>
  </si>
  <si>
    <t>Opcion B, ya validada en Dimensionamiento_String!C5</t>
  </si>
  <si>
    <t>N paneles en serie por string (configuracion adoptada)</t>
  </si>
  <si>
    <t>Fuente / comentario</t>
  </si>
  <si>
    <t>Resultado</t>
  </si>
  <si>
    <t>Detalle</t>
  </si>
  <si>
    <t>1. Voc string frio &lt;= Vmax DC absoluta</t>
  </si>
  <si>
    <t>SI</t>
  </si>
  <si>
    <t>1017,4V vs 1100V</t>
  </si>
  <si>
    <t>2. Vmp string realista &gt;= Tension minima MPPT activo</t>
  </si>
  <si>
    <t>NOCT (temperatura nominal de operacion de celda)</t>
  </si>
  <si>
    <t>Voc frio</t>
  </si>
  <si>
    <t>OK</t>
  </si>
  <si>
    <t>Vmp realista</t>
  </si>
  <si>
    <t>Vmp extremo</t>
  </si>
  <si>
    <t>Margen minimo</t>
  </si>
  <si>
    <t>Estado</t>
  </si>
  <si>
    <t>1017,4</t>
  </si>
  <si>
    <t>7,5%</t>
  </si>
  <si>
    <t>*** OPTIMO ***</t>
  </si>
  <si>
    <t>Rango valido segun formulas: 8 a 8  |  Rango evaluado en esta auditoria: 6 a 10</t>
  </si>
  <si>
    <t>Motivo del descarte / cumplimiento</t>
  </si>
  <si>
    <t>763,0</t>
  </si>
  <si>
    <t>NO</t>
  </si>
  <si>
    <t>-15,5%</t>
  </si>
  <si>
    <t>descartada</t>
  </si>
  <si>
    <t>890,2</t>
  </si>
  <si>
    <t>582,8</t>
  </si>
  <si>
    <t>-1,4%</t>
  </si>
  <si>
    <t>1144,5</t>
  </si>
  <si>
    <t>-4,0%</t>
  </si>
  <si>
    <t xml:space="preserve">Voc frio excede Vmax DC por 44,5V. </t>
  </si>
  <si>
    <t>1271,7</t>
  </si>
  <si>
    <t>-15,6%</t>
  </si>
  <si>
    <t xml:space="preserve">Voc frio excede Vmax DC por 171,7V. </t>
  </si>
  <si>
    <t>Tecnologia de celda (CdTe / CIGS / Mono-Si / Poli-Si)</t>
  </si>
  <si>
    <t>CdTe</t>
  </si>
  <si>
    <t>Clasificacion para regresion de NOCT — ver seccion 5.4 de la Adenda</t>
  </si>
  <si>
    <t>NOCT real de fabricante (dejar vacio si se desconoce)</t>
  </si>
  <si>
    <t>Si la ficha lo reporta en el futuro, escribirlo aqui reemplaza el estimado automaticamente</t>
  </si>
  <si>
    <t>Origen del NOCT usado</t>
  </si>
  <si>
    <t>666,0V vs 580V</t>
  </si>
  <si>
    <t>653,6V vs 580V</t>
  </si>
  <si>
    <t>Ancho panel (m)</t>
  </si>
  <si>
    <t>Alto panel (m)</t>
  </si>
  <si>
    <t>Area unitaria panel (m2)</t>
  </si>
  <si>
    <t>Area disponible del proyecto (m2)</t>
  </si>
  <si>
    <t>Fuente del area</t>
  </si>
  <si>
    <t>Bruta — dimensiones de fachada (9,6m x 12m), decision de diseno para maximizar autoconsumo</t>
  </si>
  <si>
    <r>
      <t>"115,2 m2 / 0,72 m2 panel = 160 paneles exactos (bruta, ver fila 6-7)"</t>
    </r>
    <r>
      <rPr>
        <sz val="11"/>
        <color theme="1"/>
        <rFont val="Calibri"/>
        <family val="2"/>
        <charset val="1"/>
      </rPr>
      <t>.</t>
    </r>
  </si>
  <si>
    <t>El total de paneles del proyecto se calcula despues, en Mod_DimensionarSistema, usando el N optimo de aqui.</t>
  </si>
  <si>
    <t>499,5</t>
  </si>
  <si>
    <t>490,2</t>
  </si>
  <si>
    <t xml:space="preserve">Vmp realista insuficiente por 80,5V. Vmp extremo insuficiente por 89,8V. </t>
  </si>
  <si>
    <t>571,9</t>
  </si>
  <si>
    <t xml:space="preserve">Vmp extremo insuficiente por 8,1V. </t>
  </si>
  <si>
    <t>666,0</t>
  </si>
  <si>
    <t>653,6</t>
  </si>
  <si>
    <t>Cumple Voc y Vmp (verificacion electrica). Corriente y potencia se validan en la Etapa 3.</t>
  </si>
  <si>
    <t>749,3</t>
  </si>
  <si>
    <t>735,3</t>
  </si>
  <si>
    <t>832,5</t>
  </si>
  <si>
    <t>817,0</t>
  </si>
  <si>
    <t>Generado: 10/07/2026 09:34</t>
  </si>
  <si>
    <t>CALCULO REAL DEL INVERSOR — CONFIGURACION ADOPTADA (N=8 paneles/string, 128 paneles totales)</t>
  </si>
  <si>
    <t>8,00A vs 27A (FS=1,25, 8 strings/tracker)</t>
  </si>
  <si>
    <t>8.064W vs 22.500W (ratio DC/AC=0,54x)</t>
  </si>
  <si>
    <t>*** ESCENARIO DE PRUEBA GENERICO -- NO corresponde a sombreado real de ningun proyecto especifico ***</t>
  </si>
  <si>
    <t>Panel evaluado</t>
  </si>
  <si>
    <t>ASP-ST1-T40 (SolTech, CdTe)</t>
  </si>
  <si>
    <t>116V / 0,8A / 86,4V / 0,7A</t>
  </si>
  <si>
    <t>NsA usado</t>
  </si>
  <si>
    <t>0,000000 A</t>
  </si>
  <si>
    <t>Fuente: Datos_Proyecto_Consumo (ya certificado en Etapas 1-2)</t>
  </si>
  <si>
    <t>25 C</t>
  </si>
  <si>
    <t>Voc / Isc / Vmp / Imp (STC)</t>
  </si>
  <si>
    <t>Fundamentado en Analisis_NsA_CdTe_NCL.docx (Ns=141, n=1,094 mediana CdTe, base CEC/NREL)</t>
  </si>
  <si>
    <t>G Grupo 2 (W/m2)</t>
  </si>
  <si>
    <t>Vmp Grupo 1 (V)</t>
  </si>
  <si>
    <t>Pmax Grupo 1 (W)</t>
  </si>
  <si>
    <t>Vmp Grupo 2 (V)</t>
  </si>
  <si>
    <t>Pmax Grupo 2 (W)</t>
  </si>
  <si>
    <t>Total IDEAL (W)</t>
  </si>
  <si>
    <t>V compromiso (V)</t>
  </si>
  <si>
    <t>Potencia REAL (W)</t>
  </si>
  <si>
    <t>Perdida (W)</t>
  </si>
  <si>
    <t>Perdida (%)</t>
  </si>
  <si>
    <t>3. INTERPRETACION</t>
  </si>
  <si>
    <t>G (W/m2)</t>
  </si>
  <si>
    <t>Voc (V)</t>
  </si>
  <si>
    <t>Isc (A)</t>
  </si>
  <si>
    <t>Vmp (V)</t>
  </si>
  <si>
    <t>Imp (A)</t>
  </si>
  <si>
    <t>Pmax (W)</t>
  </si>
  <si>
    <t>Iph=0,8152A | I0=1,35E-13A | Rs=25,5090 ohm | Rsh=1340,6 ohm</t>
  </si>
  <si>
    <t>TrasladarParametrosGT + CurvaIV_CdTe (De Soto 2006 completo)</t>
  </si>
  <si>
    <t>Generado: 11/07/2026 13:39</t>
  </si>
  <si>
    <t>1. TRAZABILIDAD</t>
  </si>
  <si>
    <t>Parametros calibrados</t>
  </si>
  <si>
    <t>Motor de calculo</t>
  </si>
  <si>
    <t>TrasladarParametrosGT + CurvaIV_CdTe (De Soto 2006, Rsh exponencial CdTe Mermoud 2005)</t>
  </si>
  <si>
    <t>FF (%)</t>
  </si>
  <si>
    <t>FF maximo encontrado: 76,28% en G = 200 W/m2.</t>
  </si>
  <si>
    <t>Para tecnologia CdTe, el FF debe alcanzar su maximo en el rango 200-400 W/m2 (Batzner et al. 2001). Si el maximo aparece fuera de ese rango o la curva es monotona (sin domo), revisar la calibracion antes de confiar en el resultado.</t>
  </si>
  <si>
    <t>Supuesto ajustable — representativo de temperatura ambiente diurna típica de Bogotá (sitio del proyecto Teusaquillo)</t>
  </si>
  <si>
    <t>Rs constante (De Soto Eq.12) | Rsh exponencial CdTe (Mermoud 2005) | Voc recalculado por biseccion</t>
  </si>
  <si>
    <t>20 C</t>
  </si>
  <si>
    <t>Fuente: Datos_Proyecto_Consumo (supuesto ajustable, representativo del sitio)</t>
  </si>
  <si>
    <t>51,145 C</t>
  </si>
  <si>
    <t>Fuente: Datos_Tecnicos (formula viva segun tecnologia CdTe)</t>
  </si>
  <si>
    <t>CALCULADA dinamicamente (modelo NOCT)</t>
  </si>
  <si>
    <t>Reemplaza la simplificacion isotermica anterior (25C fijo en ambos grupos)</t>
  </si>
  <si>
    <t>T celda G1 (C)</t>
  </si>
  <si>
    <t>T celda G2 (C)</t>
  </si>
  <si>
    <t>Generado: 11/07/2026 15:47</t>
  </si>
  <si>
    <t>Curva 1: FF isotermico</t>
  </si>
  <si>
    <t>T = 25 C fijo (igual convencion que hoja FF_vs_Irradiancia)</t>
  </si>
  <si>
    <t>T_celda = TempCelda(T_amb, G, NOCT) -- varia con G</t>
  </si>
  <si>
    <t>Fuente: Datos_Tecnicos (supuesto ajustable)</t>
  </si>
  <si>
    <t>Fuente: Datos_Tecnicos (formula viva CdTe)</t>
  </si>
  <si>
    <t>T celda real (C)</t>
  </si>
  <si>
    <t>FF isotermico (%)</t>
  </si>
  <si>
    <t>FF real (%)</t>
  </si>
  <si>
    <t>Diferencia (pp)</t>
  </si>
  <si>
    <t>FF isotermico maximo: 76,28% en G=200 W/m2.</t>
  </si>
  <si>
    <t>FF real maximo: 76,15% en G=175 W/m2.</t>
  </si>
  <si>
    <t>La curva 'real' incluye el efecto de que a mayor G, la celda tambien calienta mas (via NOCT). Si el maximo de la curva real aparece en un G distinto al isotermico, o la diferencia (columna E) cambia de signo de forma irregular, revisar antes de confiar en el resultado.</t>
  </si>
  <si>
    <t>PANELES IMPORTADOS DEL CATALOGO -- para comparacion FF vs. Irradiancia</t>
  </si>
  <si>
    <t>NOTA: Tk-alfa (coef. temperatura Isc) no esta en el catalogo -- se deja en 0 (supuesto). Completar a mano por fila si el panel lo requiere.</t>
  </si>
  <si>
    <t>Incluir (Si/No)</t>
  </si>
  <si>
    <t>Nombre panel</t>
  </si>
  <si>
    <t>Tecnologia</t>
  </si>
  <si>
    <t>Tk-beta Voc (%/C)</t>
  </si>
  <si>
    <t>Tk-alfa Isc (%/C)</t>
  </si>
  <si>
    <t>Tk-gamma Pmax (%/C)</t>
  </si>
  <si>
    <t>NOCT (C)</t>
  </si>
  <si>
    <t>Origen NOCT / Notas</t>
  </si>
  <si>
    <t>No</t>
  </si>
  <si>
    <t>ASP-DVH-T0</t>
  </si>
  <si>
    <t>N/D</t>
  </si>
  <si>
    <t>Vidrio DVH -- ficha no reporta Pmax en W ni dimension fija</t>
  </si>
  <si>
    <t>ASP-DVH-T10</t>
  </si>
  <si>
    <t>ASP-DVH-T30</t>
  </si>
  <si>
    <t>ASP-DVH-T50</t>
  </si>
  <si>
    <t>ASP-DVH-T60</t>
  </si>
  <si>
    <t>ASP-DVH-T70</t>
  </si>
  <si>
    <t>ASP-LAM3-T0 (1200x1200mm)</t>
  </si>
  <si>
    <t>Transparencia inferida del nombre del modelo | NOCT ESTIMADO automaticamente (NOCT=1750*alpha_p+47.4 (CdTe, R2=0.98)) -- NO es dato de fabricante</t>
  </si>
  <si>
    <t>Si</t>
  </si>
  <si>
    <t>ASP-LAM3-T0 (1200x1800mm)</t>
  </si>
  <si>
    <t>ASP-LAM3-T0 (1215x2300mm)</t>
  </si>
  <si>
    <t>ASP-LAM3-T10 (1200x1200mm)</t>
  </si>
  <si>
    <t>ASP-LAM3-T10 (1200x1800mm)</t>
  </si>
  <si>
    <t>ASP-LAM3-T10 (1215x2300mm)</t>
  </si>
  <si>
    <t>ASP-LAM3-T20 (1200x1200mm)</t>
  </si>
  <si>
    <t>ASP-LAM3-T20 (1200x1800mm)</t>
  </si>
  <si>
    <t>ASP-LAM3-T20 (1215x2300mm)</t>
  </si>
  <si>
    <t>ASP-LAM3-T30 (1200x1200mm)</t>
  </si>
  <si>
    <t>ASP-LAM3-T30 (1200x1800mm)</t>
  </si>
  <si>
    <t>ASP-LAM3-T30 (1215x2300mm)</t>
  </si>
  <si>
    <t>ASP-LAM3-T40 (1200x1200mm)</t>
  </si>
  <si>
    <t>ASP-LAM3-T40 (1200x1800mm)</t>
  </si>
  <si>
    <t>ASP-LAM3-T40 (1215x2300mm)</t>
  </si>
  <si>
    <t>ASP-LAM3-T50 (1200x1200mm)</t>
  </si>
  <si>
    <t>ASP-LAM3-T50 (1200x1800mm)</t>
  </si>
  <si>
    <t>ASP-LAM3-T50 (1215x2300mm)</t>
  </si>
  <si>
    <t>ASP-S1-105</t>
  </si>
  <si>
    <t>Panel opaco -- transparencia asignada en 0 | NOCT ESTIMADO automaticamente (NOCT=1750*alpha_p+47.4 (CdTe, R2=0.98)) -- NO es dato de fabricante</t>
  </si>
  <si>
    <t>ASP-S1-108</t>
  </si>
  <si>
    <t>ASP-S1-110</t>
  </si>
  <si>
    <t>ASP-S1-115</t>
  </si>
  <si>
    <t>ASP-ST1-T0</t>
  </si>
  <si>
    <t>Ficha no reporta Pmax en W ni dimension fija para T0 | NOCT ESTIMADO automaticamente (NOCT=1750*alpha_p+47.4 (CdTe, R2=0.98)) -- NO es dato de fabricante</t>
  </si>
  <si>
    <t>ASP-ST1-T10</t>
  </si>
  <si>
    <t>| NOCT ESTIMADO por formula tecnica (NOCT=1750*alpha_p+47.4 (CdTe, R2=0.98)) -- NO es dato de fabricante</t>
  </si>
  <si>
    <t>ASP-ST1-T20</t>
  </si>
  <si>
    <t>ASP-ST1-T30</t>
  </si>
  <si>
    <t>ASP-ST1-T40</t>
  </si>
  <si>
    <t>| NOCT ESTIMADO automaticamente (NOCT=1750*alpha_p+47.4 (CdTe, R2=0.98)) -- NO es dato de fabricante</t>
  </si>
  <si>
    <t>ASP-ST1-T50</t>
  </si>
  <si>
    <t>ASP-ST1-T60</t>
  </si>
  <si>
    <t>ASP-ST1-T70</t>
  </si>
  <si>
    <t>HW-MQSB-V2 Teja Curva CIGS (Black)</t>
  </si>
  <si>
    <t>CIGS</t>
  </si>
  <si>
    <t>Teja opaca -- transparencia asignada en 0</t>
  </si>
  <si>
    <t>HW-MQSB-V2 Teja Curva CIGS (Green)</t>
  </si>
  <si>
    <t>Teja opaca -- transparencia asignada en 0 | NOCT ESTIMADO automaticamente (NOCT=1650*alpha_p+47.0 (CIGS, R2=0.97)) -- NO es dato de fabricante</t>
  </si>
  <si>
    <t>HW-MQSB-V2 Teja Curva CIGS (Red)</t>
  </si>
  <si>
    <t>NCL-BP-P-C02-327</t>
  </si>
  <si>
    <t>"Ficha reporta 'Hasta 160 W/m2' (dato por area, no Wp por panel) | NOCT ESTIMADO automaticamente (NOCT=1750*alpha_p+47.4 (CdTe, R2=0.98)) -- NO es dato de fabricante</t>
  </si>
  <si>
    <t>HIITIO HC-3CT0%</t>
  </si>
  <si>
    <t>Ya cargado en Hoja1 filas 30-34 -- referencia</t>
  </si>
  <si>
    <t>HIITIO HC-3CT20%</t>
  </si>
  <si>
    <t>HIITIO HC-3CT40%</t>
  </si>
  <si>
    <t>HIITIO HC-3CT60%</t>
  </si>
  <si>
    <t>HIITIO HC-JL-B5-60%</t>
  </si>
  <si>
    <t>PERC half Cut Bifacial ESM</t>
  </si>
  <si>
    <t>MonoSi</t>
  </si>
  <si>
    <t>| NOCT ESTIMADO automaticamente (NOCT=1200*alpha_p+52.0 (Mono-Si PERC, R2=0.96)) -- NO es dato de fabricante</t>
  </si>
  <si>
    <t>NCL-BP-P-C02-108</t>
  </si>
  <si>
    <t>NCL-BP-P-C08-95</t>
  </si>
  <si>
    <t>NCL-FP-P-C010-83</t>
  </si>
  <si>
    <t>NCL-FP-P-C15-60</t>
  </si>
  <si>
    <t>NCL-FP-P-C02-217</t>
  </si>
  <si>
    <t>NCL-FP-P-C05-193</t>
  </si>
  <si>
    <t>NCL-FP-P-C11-169</t>
  </si>
  <si>
    <t>NCL-FP-P-C15-121</t>
  </si>
  <si>
    <t>ASP-ST1-T10 (CdTe)</t>
  </si>
  <si>
    <t>ASP-ST1-T40 (CdTe)</t>
  </si>
  <si>
    <t>NsA (n×Ns)</t>
  </si>
  <si>
    <t>ASP-S1-105 (CdTe)</t>
  </si>
  <si>
    <t>NCL-BP-P-C02-327 (CdTe)</t>
  </si>
  <si>
    <t>HIITIO HC-3CT0% (CdTe)</t>
  </si>
  <si>
    <t>HIITIO HC-3CT20% (CdTe)</t>
  </si>
  <si>
    <t>HIITIO HC-3CT40% (CdTe)</t>
  </si>
  <si>
    <t>HIITIO HC-3CT60% (CdTe)</t>
  </si>
  <si>
    <t>HIITIO HC-JL-B5-60% (CdTe)</t>
  </si>
  <si>
    <t>ASP-LAM3-T0 (1200x1800mm) (CdTe)</t>
  </si>
  <si>
    <t>Generado: 12/07/2026 19:00</t>
  </si>
  <si>
    <t>CATALOGO DE INVERSORES</t>
  </si>
  <si>
    <t>Datos completos (Si/No)</t>
  </si>
  <si>
    <t>Modelo</t>
  </si>
  <si>
    <t>Archivo origen</t>
  </si>
  <si>
    <t>Tension DC Maxima (V)</t>
  </si>
  <si>
    <t>Tension Arranque (V)</t>
  </si>
  <si>
    <t>Rango MPPT Min (V)</t>
  </si>
  <si>
    <t>Rango MPPT Max (V)</t>
  </si>
  <si>
    <t>Tension Minima MPPT Activo (V)</t>
  </si>
  <si>
    <t>N Trackers</t>
  </si>
  <si>
    <t>N Strings/Tracker</t>
  </si>
  <si>
    <t>Corriente Maxima Tracker (A)</t>
  </si>
  <si>
    <t>Corriente Cortocircuito Max Tracker (A)</t>
  </si>
  <si>
    <t>Potencia FV Max Recomendada (W)</t>
  </si>
  <si>
    <t>MID 15KTL3-X</t>
  </si>
  <si>
    <t>Growatt_MID_15-25KTL3-X_Especificaciones.xlsx</t>
  </si>
  <si>
    <t>MID 17KTL3-X</t>
  </si>
  <si>
    <t>MID 20KTL3-X</t>
  </si>
  <si>
    <t>MID 22KTL3-X</t>
  </si>
  <si>
    <t>MID 25KTL3-X</t>
  </si>
  <si>
    <t>Panel</t>
  </si>
  <si>
    <t>Inversor</t>
  </si>
  <si>
    <t>Margen electrico=7,5% -- via EncontrarMejorNSerie</t>
  </si>
  <si>
    <t>196,1 / 51,1 C</t>
  </si>
  <si>
    <t>Fuente: Paneles_Comparativa</t>
  </si>
  <si>
    <t>Iph=0,8114A | I0=7,40E-11A | Rs=22,4182 ohm | Rsh=1578,6 ohm</t>
  </si>
  <si>
    <t>27,5A / 33,5A</t>
  </si>
  <si>
    <t>Fuente: Catalogo_Inversores -- verificado contra la corriente real de cada escenario</t>
  </si>
  <si>
    <t>I compromiso (A)</t>
  </si>
  <si>
    <t>Corriente OK?</t>
  </si>
  <si>
    <t>N_serie</t>
  </si>
  <si>
    <t>Imax_tracker (A)</t>
  </si>
  <si>
    <t>Perdida % (10%)</t>
  </si>
  <si>
    <t>Perdida % (30%)</t>
  </si>
  <si>
    <t>Perdida % (50%)</t>
  </si>
  <si>
    <t>Perdida % (70%)</t>
  </si>
  <si>
    <t>Corriente OK (10%)</t>
  </si>
  <si>
    <t>Corriente OK (30%)</t>
  </si>
  <si>
    <t>Corriente OK (50%)</t>
  </si>
  <si>
    <t>Corriente OK (70%)</t>
  </si>
  <si>
    <t>Proyecto / Notas (opcional, editar a mano)</t>
  </si>
  <si>
    <t>FIRMA ELECTRICA CERTIFICADA (Etapa 1) -- no editar a mano</t>
  </si>
  <si>
    <t>Generado</t>
  </si>
  <si>
    <t>Voc_stc</t>
  </si>
  <si>
    <t>Vmp_stc</t>
  </si>
  <si>
    <t>CoefVoc</t>
  </si>
  <si>
    <t>Vmax_DC</t>
  </si>
  <si>
    <t>V_arranque</t>
  </si>
  <si>
    <t>Vmax_MPPT</t>
  </si>
  <si>
    <t>V_min_MPPT_activo</t>
  </si>
  <si>
    <t>Tmin_diseno</t>
  </si>
  <si>
    <t>Tmax_realista</t>
  </si>
  <si>
    <t>Tmax_extremo</t>
  </si>
  <si>
    <t>N_serie certificado</t>
  </si>
  <si>
    <t>Margen certificado</t>
  </si>
  <si>
    <t>Coincide con la Etapa 1 certificada (N=8). Resultado consistente.</t>
  </si>
  <si>
    <t>Generado: 18/07/2026 11:51</t>
  </si>
  <si>
    <t>Generado: 18/07/2026 12:08</t>
  </si>
  <si>
    <t>CATALOGO INVERSORES _ACTUALIZADO.xlsx</t>
  </si>
  <si>
    <t>SOLIS-60K</t>
  </si>
  <si>
    <t>TriP 30K-HV</t>
  </si>
  <si>
    <t>TriP 25K-HV</t>
  </si>
  <si>
    <t>TriP 20K-HV</t>
  </si>
  <si>
    <t>TriP 15K-HV</t>
  </si>
  <si>
    <t>TriP 10K-HV</t>
  </si>
  <si>
    <t>TriP 8K-HV</t>
  </si>
  <si>
    <t>TriP 6K-HV</t>
  </si>
  <si>
    <t>TriP2-HB-3P-6K</t>
  </si>
  <si>
    <t>TriP2-HB-3P-8K</t>
  </si>
  <si>
    <t>TriP2-HB-3P-10K</t>
  </si>
  <si>
    <t>TriP2-HB-3P-12K</t>
  </si>
  <si>
    <t>TriP2-HB-3P-15K</t>
  </si>
  <si>
    <t>TriP2-HB-3P-20K</t>
  </si>
  <si>
    <t>TriP2-HB-3P-25K</t>
  </si>
  <si>
    <t>TriP2-HB-3P-30K</t>
  </si>
  <si>
    <t>ECO HIBRID SNA US 12K</t>
  </si>
  <si>
    <t>ECO HIBRID SNA US 15K</t>
  </si>
  <si>
    <t>ECO HIBRID SNA US 6K</t>
  </si>
  <si>
    <t>SNA2-EU-LT 10K</t>
  </si>
  <si>
    <t>SNA2-EU-LT 12K</t>
  </si>
  <si>
    <t>SNA2-EU-LT 14K</t>
  </si>
  <si>
    <t>SINGLE FASE SNA-EU 12K</t>
  </si>
  <si>
    <t>SINGLE FASE SNA-EU 14K</t>
  </si>
  <si>
    <t>SUN-5K-SG01LP1-US</t>
  </si>
  <si>
    <t>SUN-6K-SG01LP1-US</t>
  </si>
  <si>
    <t>SUN-7.6K-SG01LP1-US/EU</t>
  </si>
  <si>
    <t>SUN-8K-SG01LP1-US/EU</t>
  </si>
  <si>
    <t>Importado: 20/07/2026 19:23 -- desde RESPALDO OPTIMIZADOR PARA CALCULOS BIPV COMPLETO-MONTAJE FINAL2.0.xlsb</t>
  </si>
  <si>
    <t>Catalogo_Paneles_FV, fila 2 (RESPALDO OPTIMIZADOR PARA CALCULOS BIPV COMPLETO-MONTAJE FINAL2.0.xlsb) -- PENDIENTE: completar datos electricos segun ficha</t>
  </si>
  <si>
    <t>Catalogo_Paneles_FV, fila 3 (RESPALDO OPTIMIZADOR PARA CALCULOS BIPV COMPLETO-MONTAJE FINAL2.0.xlsb) -- PENDIENTE: completar datos electricos segun ficha</t>
  </si>
  <si>
    <t>Catalogo_Paneles_FV, fila 4 (RESPALDO OPTIMIZADOR PARA CALCULOS BIPV COMPLETO-MONTAJE FINAL2.0.xlsb) -- PENDIENTE: completar datos electricos segun ficha</t>
  </si>
  <si>
    <t>Catalogo_Paneles_FV, fila 5 (RESPALDO OPTIMIZADOR PARA CALCULOS BIPV COMPLETO-MONTAJE FINAL2.0.xlsb) -- PENDIENTE: completar datos electricos segun ficha</t>
  </si>
  <si>
    <t>Catalogo_Paneles_FV, fila 6 (RESPALDO OPTIMIZADOR PARA CALCULOS BIPV COMPLETO-MONTAJE FINAL2.0.xlsb) -- PENDIENTE: completar datos electricos segun ficha</t>
  </si>
  <si>
    <t>Catalogo_Paneles_FV, fila 7 (RESPALDO OPTIMIZADOR PARA CALCULOS BIPV COMPLETO-MONTAJE FINAL2.0.xlsb) -- PENDIENTE: completar datos electricos segun ficha</t>
  </si>
  <si>
    <t>Catalogo_Paneles_FV, fila 8 (RESPALDO OPTIMIZADOR PARA CALCULOS BIPV COMPLETO-MONTAJE FINAL2.0.xlsb) -- PENDIENTE: completar datos electricos segun ficha</t>
  </si>
  <si>
    <t>Catalogo_Paneles_FV, fila 9 (RESPALDO OPTIMIZADOR PARA CALCULOS BIPV COMPLETO-MONTAJE FINAL2.0.xlsb)</t>
  </si>
  <si>
    <t>Catalogo_Paneles_FV, fila 10 (RESPALDO OPTIMIZADOR PARA CALCULOS BIPV COMPLETO-MONTAJE FINAL2.0.xlsb)</t>
  </si>
  <si>
    <t>Catalogo_Paneles_FV, fila 11 (RESPALDO OPTIMIZADOR PARA CALCULOS BIPV COMPLETO-MONTAJE FINAL2.0.xlsb)</t>
  </si>
  <si>
    <t>Catalogo_Paneles_FV, fila 12 (RESPALDO OPTIMIZADOR PARA CALCULOS BIPV COMPLETO-MONTAJE FINAL2.0.xlsb)</t>
  </si>
  <si>
    <t>Catalogo_Paneles_FV, fila 13 (RESPALDO OPTIMIZADOR PARA CALCULOS BIPV COMPLETO-MONTAJE FINAL2.0.xlsb)</t>
  </si>
  <si>
    <t>Catalogo_Paneles_FV, fila 14 (RESPALDO OPTIMIZADOR PARA CALCULOS BIPV COMPLETO-MONTAJE FINAL2.0.xlsb)</t>
  </si>
  <si>
    <t>Catalogo_Paneles_FV, fila 15 (RESPALDO OPTIMIZADOR PARA CALCULOS BIPV COMPLETO-MONTAJE FINAL2.0.xlsb)</t>
  </si>
  <si>
    <t>Catalogo_Paneles_FV, fila 16 (RESPALDO OPTIMIZADOR PARA CALCULOS BIPV COMPLETO-MONTAJE FINAL2.0.xlsb)</t>
  </si>
  <si>
    <t>Catalogo_Paneles_FV, fila 17 (RESPALDO OPTIMIZADOR PARA CALCULOS BIPV COMPLETO-MONTAJE FINAL2.0.xlsb)</t>
  </si>
  <si>
    <t>Catalogo_Paneles_FV, fila 18 (RESPALDO OPTIMIZADOR PARA CALCULOS BIPV COMPLETO-MONTAJE FINAL2.0.xlsb)</t>
  </si>
  <si>
    <t>Catalogo_Paneles_FV, fila 19 (RESPALDO OPTIMIZADOR PARA CALCULOS BIPV COMPLETO-MONTAJE FINAL2.0.xlsb)</t>
  </si>
  <si>
    <t>Catalogo_Paneles_FV, fila 20 (RESPALDO OPTIMIZADOR PARA CALCULOS BIPV COMPLETO-MONTAJE FINAL2.0.xlsb)</t>
  </si>
  <si>
    <t>Catalogo_Paneles_FV, fila 21 (RESPALDO OPTIMIZADOR PARA CALCULOS BIPV COMPLETO-MONTAJE FINAL2.0.xlsb)</t>
  </si>
  <si>
    <t>Catalogo_Paneles_FV, fila 22 (RESPALDO OPTIMIZADOR PARA CALCULOS BIPV COMPLETO-MONTAJE FINAL2.0.xlsb)</t>
  </si>
  <si>
    <t>Catalogo_Paneles_FV, fila 23 (RESPALDO OPTIMIZADOR PARA CALCULOS BIPV COMPLETO-MONTAJE FINAL2.0.xlsb)</t>
  </si>
  <si>
    <t>Catalogo_Paneles_FV, fila 24 (RESPALDO OPTIMIZADOR PARA CALCULOS BIPV COMPLETO-MONTAJE FINAL2.0.xlsb)</t>
  </si>
  <si>
    <t>Catalogo_Paneles_FV, fila 25 (RESPALDO OPTIMIZADOR PARA CALCULOS BIPV COMPLETO-MONTAJE FINAL2.0.xlsb)</t>
  </si>
  <si>
    <t>Catalogo_Paneles_FV, fila 26 (RESPALDO OPTIMIZADOR PARA CALCULOS BIPV COMPLETO-MONTAJE FINAL2.0.xlsb)</t>
  </si>
  <si>
    <t>Catalogo_Paneles_FV, fila 27 (RESPALDO OPTIMIZADOR PARA CALCULOS BIPV COMPLETO-MONTAJE FINAL2.0.xlsb)</t>
  </si>
  <si>
    <t>Catalogo_Paneles_FV, fila 28 (RESPALDO OPTIMIZADOR PARA CALCULOS BIPV COMPLETO-MONTAJE FINAL2.0.xlsb)</t>
  </si>
  <si>
    <t>Catalogo_Paneles_FV, fila 29 (RESPALDO OPTIMIZADOR PARA CALCULOS BIPV COMPLETO-MONTAJE FINAL2.0.xlsb)</t>
  </si>
  <si>
    <t>Catalogo_Paneles_FV, fila 30 (RESPALDO OPTIMIZADOR PARA CALCULOS BIPV COMPLETO-MONTAJE FINAL2.0.xlsb) -- PENDIENTE: completar datos electricos segun ficha</t>
  </si>
  <si>
    <t>Catalogo_Paneles_FV, fila 31 (RESPALDO OPTIMIZADOR PARA CALCULOS BIPV COMPLETO-MONTAJE FINAL2.0.xlsb)</t>
  </si>
  <si>
    <t>Catalogo_Paneles_FV, fila 32 (RESPALDO OPTIMIZADOR PARA CALCULOS BIPV COMPLETO-MONTAJE FINAL2.0.xlsb)</t>
  </si>
  <si>
    <t>Catalogo_Paneles_FV, fila 33 (RESPALDO OPTIMIZADOR PARA CALCULOS BIPV COMPLETO-MONTAJE FINAL2.0.xlsb)</t>
  </si>
  <si>
    <t>Catalogo_Paneles_FV, fila 34 (RESPALDO OPTIMIZADOR PARA CALCULOS BIPV COMPLETO-MONTAJE FINAL2.0.xlsb)</t>
  </si>
  <si>
    <t>Catalogo_Paneles_FV, fila 35 (RESPALDO OPTIMIZADOR PARA CALCULOS BIPV COMPLETO-MONTAJE FINAL2.0.xlsb)</t>
  </si>
  <si>
    <t>Catalogo_Paneles_FV, fila 36 (RESPALDO OPTIMIZADOR PARA CALCULOS BIPV COMPLETO-MONTAJE FINAL2.0.xlsb)</t>
  </si>
  <si>
    <t>Catalogo_Paneles_FV, fila 37 (RESPALDO OPTIMIZADOR PARA CALCULOS BIPV COMPLETO-MONTAJE FINAL2.0.xlsb)</t>
  </si>
  <si>
    <t>Catalogo_Paneles_FV, fila 38 (RESPALDO OPTIMIZADOR PARA CALCULOS BIPV COMPLETO-MONTAJE FINAL2.0.xlsb)</t>
  </si>
  <si>
    <t>Catalogo_Paneles_FV, fila 39 (RESPALDO OPTIMIZADOR PARA CALCULOS BIPV COMPLETO-MONTAJE FINAL2.0.xlsb)</t>
  </si>
  <si>
    <t>Catalogo_Paneles_FV, fila 40 (RESPALDO OPTIMIZADOR PARA CALCULOS BIPV COMPLETO-MONTAJE FINAL2.0.xlsb)</t>
  </si>
  <si>
    <t>Catalogo_Paneles_FV, fila 41 (RESPALDO OPTIMIZADOR PARA CALCULOS BIPV COMPLETO-MONTAJE FINAL2.0.xlsb)</t>
  </si>
  <si>
    <t>Catalogo_Paneles_FV, fila 42 (RESPALDO OPTIMIZADOR PARA CALCULOS BIPV COMPLETO-MONTAJE FINAL2.0.xlsb)</t>
  </si>
  <si>
    <t>Catalogo_Paneles_FV, fila 43 (RESPALDO OPTIMIZADOR PARA CALCULOS BIPV COMPLETO-MONTAJE FINAL2.0.xlsb)</t>
  </si>
  <si>
    <t>Catalogo_Paneles_FV, fila 44 (RESPALDO OPTIMIZADOR PARA CALCULOS BIPV COMPLETO-MONTAJE FINAL2.0.xlsb)</t>
  </si>
  <si>
    <t>Catalogo_Paneles_FV, fila 45 (RESPALDO OPTIMIZADOR PARA CALCULOS BIPV COMPLETO-MONTAJE FINAL2.0.xlsb)</t>
  </si>
  <si>
    <t>Catalogo_Paneles_FV, fila 46 (RESPALDO OPTIMIZADOR PARA CALCULOS BIPV COMPLETO-MONTAJE FINAL2.0.xlsb)</t>
  </si>
  <si>
    <t>Catalogo_Paneles_FV, fila 47 (RESPALDO OPTIMIZADOR PARA CALCULOS BIPV COMPLETO-MONTAJE FINAL2.0.xlsb) -- PENDIENTE: completar datos electricos segun ficha</t>
  </si>
  <si>
    <t>Catalogo_Paneles_FV, fila 48 (RESPALDO OPTIMIZADOR PARA CALCULOS BIPV COMPLETO-MONTAJE FINAL2.0.xlsb)</t>
  </si>
  <si>
    <t>Catalogo_Paneles_FV, fila 49 (RESPALDO OPTIMIZADOR PARA CALCULOS BIPV COMPLETO-MONTAJE FINAL2.0.xlsb)</t>
  </si>
  <si>
    <t>Catalogo_Paneles_FV, fila 50 (RESPALDO OPTIMIZADOR PARA CALCULOS BIPV COMPLETO-MONTAJE FINAL2.0.xlsb)</t>
  </si>
  <si>
    <t>Catalogo_Paneles_FV, fila 51 (RESPALDO OPTIMIZADOR PARA CALCULOS BIPV COMPLETO-MONTAJE FINAL2.0.xlsb)</t>
  </si>
  <si>
    <t>Catalogo_Paneles_FV, fila 52 (RESPALDO OPTIMIZADOR PARA CALCULOS BIPV COMPLETO-MONTAJE FINAL2.0.xlsb)</t>
  </si>
  <si>
    <t>Catalogo_Paneles_FV, fila 53 (RESPALDO OPTIMIZADOR PARA CALCULOS BIPV COMPLETO-MONTAJE FINAL2.0.xlsb)</t>
  </si>
  <si>
    <t>Catalogo_Paneles_FV, fila 54 (RESPALDO OPTIMIZADOR PARA CALCULOS BIPV COMPLETO-MONTAJE FINAL2.0.xlsb)</t>
  </si>
  <si>
    <t>Catalogo_Paneles_FV, fila 55 (RESPALDO OPTIMIZADOR PARA CALCULOS BIPV COMPLETO-MONTAJE FINAL2.0.xlsb)</t>
  </si>
  <si>
    <t>Voc (circuito abierto, STC)</t>
  </si>
  <si>
    <t>Imp (corriente pico, STC)</t>
  </si>
  <si>
    <t>Pmax (potencia maxima, STC)</t>
  </si>
  <si>
    <t>Coeficiente temperatura Voc (Tk-beta)</t>
  </si>
  <si>
    <t>Coeficiente temperatura Isc (Tk-alfa)</t>
  </si>
  <si>
    <t>2. INVERSOR — GROWATT MID15KTL3-X (2 MPPT)</t>
  </si>
  <si>
    <t>Tension DC maxima absoluta</t>
  </si>
  <si>
    <t>Tension de arranque (Voc min)</t>
  </si>
  <si>
    <t>Rango MPPT — minimo</t>
  </si>
  <si>
    <t>Rango MPPT — maximo</t>
  </si>
  <si>
    <t>Tension minima MPPT activo</t>
  </si>
  <si>
    <t>Numero de trackers MPPT</t>
  </si>
  <si>
    <t>N strings fisicos nativos por tracker</t>
  </si>
  <si>
    <t>Corriente maxima por tracker MPPT</t>
  </si>
  <si>
    <t>Corriente de cortocircuito maxima por tracker</t>
  </si>
  <si>
    <t>Potencia FV maxima recomendada (STC)</t>
  </si>
  <si>
    <t>Potencia AC nominal de salida</t>
  </si>
  <si>
    <t>3. SUPUESTOS DE DISENO (editables — ajustar segun criterio del proyectista)</t>
  </si>
  <si>
    <t>Temperatura minima de diseno (frio, Voc)</t>
  </si>
  <si>
    <t>Temp. celula caliente — escenario realista</t>
  </si>
  <si>
    <t>Temp. celula caliente — escenario extremo</t>
  </si>
  <si>
    <t>Factor de seguridad sobre Isc (strings en paralelo)</t>
  </si>
  <si>
    <t>N total de paneles del proyecto (AJUSTADO a Opcion B: 23 strings x 8 = 184, cabe en 200 m2)</t>
  </si>
  <si>
    <t>Temperatura ambiente diseño mismatch (T_amb)</t>
  </si>
  <si>
    <t>Nota: el Vmp emerge naturalmente de la fisica del modelo (Iph, I0, Rs, Rsh, a) en vez de aplicarse como una correccion aproximada por separado.</t>
  </si>
  <si>
    <t>ETAPA 1 — OPTIMIZACION ELECTRICA DE N PANELES/STRING (sin depender del total del sistema)</t>
  </si>
  <si>
    <t>N/string</t>
  </si>
  <si>
    <t>Coeficiente temperatura Potencia (Tk-gamma)</t>
  </si>
  <si>
    <t>Fecha/Hora</t>
  </si>
  <si>
    <t>Modulo</t>
  </si>
  <si>
    <t>Mensaje</t>
  </si>
  <si>
    <t>Mod_Validaciones.VerificarCoefTRango</t>
  </si>
  <si>
    <t xml:space="preserve">1 valor(es) sospechoso(s):_x000D_
- Datos_Tecnicos (panel activo), coeficiente Voc (Tk-beta) = 3,21 %/C -- fuera de rango fisico razonable (limite +/-2 %/C). Revisar si esta multiplicado o dividido por 100 por error._x000D_
</t>
  </si>
  <si>
    <t>MAPA DE DATOS - OPTIMIZADOR DE INVERSORES BIPV (libro pequeno) - INNOVAQ</t>
  </si>
  <si>
    <t>Rango / Celda</t>
  </si>
  <si>
    <t>Contenido</t>
  </si>
  <si>
    <t>Quien escribe</t>
  </si>
  <si>
    <t>Quien lee</t>
  </si>
  <si>
    <t>Datos_Tecnicos!A5,A8:A12 / B5,B8:B12</t>
  </si>
  <si>
    <t>Bloque panel activo: Voc, Vmp, Isc, Imp, Pmax (STC) + 3 coeficientes de temperatura (Tk-beta Voc, Tk-alfa Isc, Tk-gamma Potencia)</t>
  </si>
  <si>
    <t>manual (fichas tecnicas) / Mod_ReparaDatosTecnicos (solo texto de columna A, en emergencia)</t>
  </si>
  <si>
    <t>ObtenerParametro (Mod_LeerParametrosUniversal), OptimizarConfiguracionString, VerificarCoefTRango</t>
  </si>
  <si>
    <t>CONFIRMADO</t>
  </si>
  <si>
    <t>Codigo revisado en sesion (Mod_Validaciones.bas, Mod_ReparaDatosTecnicos.bas)</t>
  </si>
  <si>
    <t>Datos_Tecnicos!A12 (etiqueta exacta)</t>
  </si>
  <si>
    <t>OJO: debe decir 'Coeficiente temperatura Potencia (Tk-gamma)' -- NO 'Pmax'. VerificarCoefTRango busca ese texto exacto via ObtenerParametro; un typo aqui produce 'Parametro no encontrado' en cadena</t>
  </si>
  <si>
    <t>manual</t>
  </si>
  <si>
    <t>VerificarCoefTRango (Mod_Validaciones)</t>
  </si>
  <si>
    <t>CONFIRMADO - INCIDENTE RESUELTO</t>
  </si>
  <si>
    <t>Incidente real 20-jul-2026: la reconstruccion post-corrupcion uso 'Pmax' por error, corregido a mano y verificado</t>
  </si>
  <si>
    <t>Datos_Tecnicos!A14:A26 / B14:B26</t>
  </si>
  <si>
    <t>Bloque inversor activo (GROWATT MID15KTL3-X): tensiones DC max/arranque/MPPT min-max/activo, corrientes maximas por tracker, potencia FV/AC</t>
  </si>
  <si>
    <t>manual (ficha tecnica del inversor)</t>
  </si>
  <si>
    <t>ObtenerParametro, OptimizarConfiguracionString</t>
  </si>
  <si>
    <t>Codigo revisado en sesion + captura de pantalla 20-jul-2026</t>
  </si>
  <si>
    <t>Datos_Tecnicos!A5,A8:A36 (columna A completa)</t>
  </si>
  <si>
    <t>Texto de etiquetas de columna A -- se corrompio a 'Si' en TODAS estas filas en incidente real (patron de escritura de otra macro, filas 6,7,37+ sobrevivieron intactas)</t>
  </si>
  <si>
    <t>manual / Mod_ReparaDatosTecnicos (reparacion de emergencia, no toca columna B)</t>
  </si>
  <si>
    <t>toda macro que use ObtenerParametro sobre esta hoja</t>
  </si>
  <si>
    <t>Reparado y verificado en sesion 20-jul-2026, incluye verificacion de seguridad (A10='Si' antes de sobrescribir)</t>
  </si>
  <si>
    <t>Datos_Tecnicos!A28:A35 / B28:B35</t>
  </si>
  <si>
    <t>Supuestos de diseno editables: temperaturas minima/celda caliente (realista/extremo), factor de seguridad Isc, N total de paneles del proyecto, T_amb diseno mismatch</t>
  </si>
  <si>
    <t>manual (criterio del proyectista)</t>
  </si>
  <si>
    <t>OptimizarConfiguracionString, Mod_MismatchComparativo</t>
  </si>
  <si>
    <t>Requiere que CalcularTemperaturasDiseno_DesdePVGIS haya corrido antes para que las 2 temperaturas de celda caliente (realista P99, extremo maximo) sean reales del sitio (PVGIS-ERA5, 8.760h) y no un supuesto generico. La temperatura minima de diseno (frio) SI sigue siendo manual -- PVGIS no provee records historicos, solo promedios de ano tipico.</t>
  </si>
  <si>
    <t>Datos_Tecnicos!A37 en adelante</t>
  </si>
  <si>
    <t>Demanda energetica del proyecto (SOLO INFORMATIVA) -- NO alimenta N_paneles, que usa el valor REAL instalado de la fila 34</t>
  </si>
  <si>
    <t>manual (copiado de Resultado_Dim_Consumo del libro grande)</t>
  </si>
  <si>
    <t>informativo, no alimenta el string sizing</t>
  </si>
  <si>
    <t>Nota explicita en la propia hoja, verificada en sesion</t>
  </si>
  <si>
    <t>Optimizacion_String!L1:M14</t>
  </si>
  <si>
    <t>Firma electrica CERTIFICADA: Voc_stc, Vmp_stc, CoefVoc, Vmax_DC, V_arranque, Vmax_MPPT, V_min_MPPT_activo, N_serie certificado</t>
  </si>
  <si>
    <t>OptimizarConfiguracionString (Etapa 1)</t>
  </si>
  <si>
    <t>VerificarCorrespondenciaNSerie (Mod_Validaciones), para comparar contra N_serie dinamico de diagnostico</t>
  </si>
  <si>
    <t>Requiere Datos_Tecnicos completo (panel+inversor+temperaturas de diseno). Deliberadamente NO lee Datos_Proyecto_Consumo -- no sabe ni le importa cuantos paneles tendra el proyecto (Adenda v6 Sec. 4.1: se elimino esa lectura por completo, era la causa raiz de la circularidad del caso Teusaquillo).</t>
  </si>
  <si>
    <t>Catalogo_Inversores (encabezado dinamico, buscado por texto 'Modelo' en filas 1-10)</t>
  </si>
  <si>
    <t>Columnas identificadas por texto de encabezado (no letra fija): Modelo, Archivo origen, Tension DC Maxima, Tension Arranque, Rango MPPT Min/Max, Tension Minima MPPT Activo, Corriente Maxima/Cortocircuito Tracker</t>
  </si>
  <si>
    <t>manual / formulario de importacion</t>
  </si>
  <si>
    <t>VerificarCatalogoIntegro, EscanearCamposFaltantes_CatalogoInversores</t>
  </si>
  <si>
    <t>Codigo revisado en sesion (Mod_Validaciones.bas)</t>
  </si>
  <si>
    <t>Log_Advertencias (hoja completa)</t>
  </si>
  <si>
    <t>Log centralizado de advertencias: Fecha/Hora, Modulo, Mensaje -- se crea automaticamente en la primera advertencia, nunca se borra a mano</t>
  </si>
  <si>
    <t>RegistrarAdvertencia (Mod_Validaciones), llamado desde VerificarCorrespondenciaNSerie / VerificarCatalogoIntegro / VerificarCoefTRango / Verificar_Integridad_Datos_Pequena</t>
  </si>
  <si>
    <t>usuario (revision periodica)</t>
  </si>
  <si>
    <t>(auditoria de codigo, no una celda)</t>
  </si>
  <si>
    <t>Mod_ReparaDatosTecnicos es una macro de UN SOLO USO (reparacion de emergencia), no operativa -- no debe correrse de nuevo salvo otra corrupcion real. Incluye verificacion de seguridad (revisa A10 antes de sobrescribir) para no pisar una reparacion manual</t>
  </si>
  <si>
    <t>(no aplica)</t>
  </si>
  <si>
    <t>(no aplica -- utilidad de emergencia)</t>
  </si>
  <si>
    <t>Codigo revisado en sesion 20-jul-2026, incluye el fix de Chr(8212)-&gt;ChrW(8212)</t>
  </si>
  <si>
    <t>(riesgo conocido, no una celda fija)</t>
  </si>
  <si>
    <t>AnalizarSensibilidadMismatch_Comparativo calcula un N_serie DINAMICO (diagnostico) que NUNCA debe confundirse con el N_serie CERTIFICADO de OptimizarConfiguracionString -- por eso existe VerificarCorrespondenciaNSerie, que compara por huella electrica con 0,5% de tolerancia</t>
  </si>
  <si>
    <t>Mod_MismatchComparativo (dinamico) vs. Mod_OptimizarStringSizing (certificado)</t>
  </si>
  <si>
    <t>VerificarCorrespondenciaNSerie</t>
  </si>
  <si>
    <t>Riesgo documentado en Adenda v6 Sec. 4/8/12 y formalizado en Mod_Validaciones.bas</t>
  </si>
  <si>
    <t>Optimizacion_String (hoja completa, mas alla de L1:M14) / OptimizarConfiguracionString</t>
  </si>
  <si>
    <t>ETAPA 1 -- barrido electrico puro. Evalua para cada N candidato: Voc string en frio vs limite DC absoluto; Vmp string en calor realista (P99) y extremo (max. absoluto ano) vs tension minima MPPT activo. Barre rango AMPLIADO (2 candidatos extra a cada lado) y cuantifica en voltios exactos cada descarte. Marca la fila ganadora con *** OPTIMO ***.</t>
  </si>
  <si>
    <t>OptimizarConfiguracionString</t>
  </si>
  <si>
    <t>Mod_DimensionarSistema (Etapa 2), VerificarCorrespondenciaNSerie</t>
  </si>
  <si>
    <t>Adenda v6 Sec. 4.1, 5, 8 -- Requiere Datos_Tecnicos completo y CalcularTemperaturasDiseno_DesdePVGIS ya corrido antes. NO depende de Datos_Proyecto_Consumo (por diseno).</t>
  </si>
  <si>
    <t>Dimensionamiento_String (hoja completa) / Mod_DimensionarSistema</t>
  </si>
  <si>
    <t>ETAPA 2 -- dimensionamiento del sistema. Lee el N optimo de la fila *** OPTIMO *** de Optimizacion_String + area disponible del proyecto + area unitaria del panel (Ancho x Alto). Calcula el N TOTAL de paneles (SIEMPRE multiplo exacto de N, nunca un ajuste posterior) y el N strings/tracker MPPT en la MISMA ejecucion, para que nunca queden desincronizados.</t>
  </si>
  <si>
    <t>DimensionarSistema</t>
  </si>
  <si>
    <t>Mod_ReporteDimensionamiento (Etapa 3)</t>
  </si>
  <si>
    <t>Adenda v6 Sec. 4.2, 7, 8 -- Requiere que OptimizarConfiguracionString (Etapa 1) haya corrido antes y exista la fila *** OPTIMO ***. Requiere area disponible ya escrita a mano en Datos_Proyecto_Consumo con fuente/justificacion. Si cambia el area disponible, hay que volver a correrla -- no se actualiza sola.</t>
  </si>
  <si>
    <t>Resultado_Dim_String (hoja completa) / Mod_ReporteDimensionamiento</t>
  </si>
  <si>
    <t>ETAPA 3 -- certificacion final. Corre las 5 verificaciones completas: Voc string frio, Vmp string realista, Vmp string extremo, corriente por tracker, potencia FV total -- las 2 ultimas dependen del TOTAL (Etapa 2) y por eso no se evaluan en la Etapa 1. Veredicto final 5 de 5 = DISENO APROBADO.</t>
  </si>
  <si>
    <t>GenerarReporteDimensionamiento</t>
  </si>
  <si>
    <t>usuario (certificacion del proyecto)</t>
  </si>
  <si>
    <t>Adenda v6 Sec. 4.3, 6, 9 -- Requiere Etapas 1 y 2 ya ejecutadas y limpias. NUNCA interpretar un veredicto 5/5 generado ANTES de esta arquitectura de 3 etapas (rediseno reemplazo el flujo de la Adenda v2).</t>
  </si>
  <si>
    <t>(macro, no una hoja) CalcularTemperaturasDiseno_DesdePVGIS (Mod_TemperaturasDiseno)</t>
  </si>
  <si>
    <t>Calcula temperatura de celda caliente realista (percentil P99) y extremo (maximo absoluto) desde un ano horario PVGIS-ERA5 real (8.760 horas) del sitio exacto del proyecto -- reemplaza usar un supuesto generico.</t>
  </si>
  <si>
    <t>CalcularTemperaturasDiseno_DesdePVGIS</t>
  </si>
  <si>
    <t>OptimizarConfiguracionString (Etapa 1), Datos_Tecnicos!B31:B32</t>
  </si>
  <si>
    <t>Adenda v6 Sec. 5, 8 -- Requiere un ano horario PVGIS-ERA5 (8.760h) del sitio exacto ya descargado. Debe correr ANTES de la Etapa 1, como primer paso del procedimiento operativo estandar.</t>
  </si>
  <si>
    <t>Analisis_Mismatch_MPPT (hoja completa) / AnalizarSensibilidadMismatch (Mod_MismatchMPPT, fijo a un panel)</t>
  </si>
  <si>
    <t>Calcula perdida de potencia cuando 2 strings con distinta irradiancia comparten el mismo canal MPPT. Usa modelo fisico de 5 parametros De Soto (2006) + Rsh exponencial CdTe (Mermoud 2005) + temperatura de celda dinamica via NOCT (ya no fija a 25C).</t>
  </si>
  <si>
    <t>AnalizarSensibilidadMismatch</t>
  </si>
  <si>
    <t>usuario (diagnostico, NO certifica proyectos)</t>
  </si>
  <si>
    <t>Adenda v6 Sec. 10, 11 -- Requiere T_amb y NOCT numericos validos en Datos_Tecnicos (etiquetas exactas, con tildes). Requiere SimuladorIV_CdTe_v2 (TrasladarParametrosGT, CurvaIV_CdTe) ya importado y funcionando.</t>
  </si>
  <si>
    <t>Mismatch_ASP-ST1-T40 (o el nombre real de la hoja segun el panel evaluado) / AnalizarSensibilidadMismatch_Comparativo (Mod_MismatchComparativo, generalizado)</t>
  </si>
  <si>
    <t>Version generalizada: recibe panel e inversor por InputBox, busca ambos en sus catalogos, reutiliza el motor fisico de 5 parametros ya validado. Reporta Pideal, Preal, perdidaW, perdidaPct por escenario de sombra.</t>
  </si>
  <si>
    <t>AnalizarSensibilidadMismatch_Comparativo</t>
  </si>
  <si>
    <t>usuario (diagnostico, NO certifica proyectos); VerificarCorrespondenciaNSerie lo audita</t>
  </si>
  <si>
    <t>Adenda v6 Sec. 12 -- Requiere que el panel exista en Paneles_Comparativa y el inversor en Catalogo_Inversores. Requiere NsA correcto en el catalogo (bug historico corregido: 144,5-&gt;196,1). El N_serie es DINAMICO/diagnostico, NUNCA el certificado de Etapa 1. Un 0,00% de perdida identico en los 4 escenarios es senal de alarma (bug historico de Pideal/perdidaW/perdidaPct no inicializados), no 'sin mismatch' -- ya corregido pero vigilar si se reintroduce en otra combinacion panel/inversor.</t>
  </si>
  <si>
    <t>FF_vs_Irradiancia (hoja completa) / GraficarFF_vs_Irradiancia (Mod_GraficoFF)</t>
  </si>
  <si>
    <t>Barrido fino de Factor de Llenado (FF) vs. irradiancia (39 puntos, 50-1000 W/m2) -- verificacion visual permanente de coherencia fisica del modelo CdTe (domo caracteristico, maximo esperado 200-400 W/m2 segun literatura).</t>
  </si>
  <si>
    <t>GraficarFF_vs_Irradiancia</t>
  </si>
  <si>
    <t>usuario (verificacion visual), referencia para FF_vs_G_TReal</t>
  </si>
  <si>
    <t>Adenda v6 Sec. 10.4-10.6 -- Requiere SimuladorIV_CdTe_v2 ya importado y funcionando, y los parametros calibrados del panel activo (Rp_stc real, no genericos de literatura).</t>
  </si>
  <si>
    <t>FF_vs_G_TReal (hoja completa) / GraficarFF_vs_Irradiancia_Real (Mod_GraficoFF_Real)</t>
  </si>
  <si>
    <t>Compara, en la misma hoja/grafico, la curva FF isotermica (T=25C fijo) contra la curva FF real (T celda dinamica via NOCT). Complementa, NO reemplaza, a FF_vs_Irradiancia. El cruce entre ambas curvas debe coincidir matematicamente con la formula NOCT (~G=128 W/m2 con T_amb=20C, NOCT=51,145C).</t>
  </si>
  <si>
    <t>GraficarFF_vs_Irradiancia_Real</t>
  </si>
  <si>
    <t>usuario (verificacion visual)</t>
  </si>
  <si>
    <t>Adenda v6 Sec. 11.2-11.5 -- Requiere T_amb y NOCT validos en Datos_Tecnicos (mismos que Mismatch). Requiere que FF_vs_Irradiancia ya exista como referencia isotermica.</t>
  </si>
  <si>
    <t>Datos_Proyecto_Consumo!Area disponible (regla de orden de escritura, no toda la hoja)</t>
  </si>
  <si>
    <t>El area disponible real del proyecto es un parametro estructurado leido por ObtenerParametro (ya no una nota de texto libre en columna Fuente, como ocurria antes del rediseno).</t>
  </si>
  <si>
    <t>manual (usuario), pero SOLO despues de la Etapa 1</t>
  </si>
  <si>
    <t>DimensionarSistema (Etapa 2)</t>
  </si>
  <si>
    <t>Adenda v6 Sec. 7, 8 -- El area disponible SOLO debe escribirse aqui DESPUES de correr OptimizarConfiguracionString, nunca antes -- escribirla antes reintroduce la circularidad del caso Teusaquillo. Nunca escribir a mano el N total de paneles ni el N de paneles/string -- son exclusivos de Mod_DimensionarSistema y OptimizarConfiguracionString respectivamente.</t>
  </si>
  <si>
    <t>(regla general de todo el libro, no una celda)</t>
  </si>
  <si>
    <t>Si se cambia el panel o el inversor activo en Datos_Tecnicos, TODA la secuencia debe repetirse desde el paso 1 -- un cambio de equipo invalida tanto el N de la Etapa 1 como el Total de la Etapa 2. No basta con recalcular una sola etapa.</t>
  </si>
  <si>
    <t>(regla operativa, no una macro)</t>
  </si>
  <si>
    <t>todo el flujo Etapa 1-2-3</t>
  </si>
  <si>
    <t>Adenda v6 Sec. 9 (checklist de cierre)</t>
  </si>
  <si>
    <t>POR VERIFICAR</t>
  </si>
  <si>
    <t>Log_Mismatch_Historico (hoja completa)</t>
  </si>
  <si>
    <t>Se sabe que registra corridas de mismatch con un 'No' por defecto para no llenarse en exploraciones -- estructura de columnas exacta aun no revisada, ni en codigo ni en la Adenda</t>
  </si>
  <si>
    <t>Log_Mismatch_Historico (modulo)</t>
  </si>
  <si>
    <t>Pendiente -- completar cuando se audite el modulo a fondo. Nota: Fase 4 del plan (buscador rapido) depende de conocer esta estructura primero</t>
  </si>
  <si>
    <t>Datos_Proyecto_Consumo (estructura completa de columnas, mas alla del area disponible ya documentada arriba)</t>
  </si>
  <si>
    <t>Se sabe que existe y que recibe el area disponible (ver fila CONFIRMADA arriba) -- el resto de su estructura completa de columnas no se ha revisado</t>
  </si>
  <si>
    <t>Pendiente -- completar cuando se audite el modulo que la escribe a fondo</t>
  </si>
  <si>
    <t>NOTA: las filas en amarillo (POR VERIFICAR) reflejan honestamente lo que aun no se ha auditado con codigo fuente real -- completalas a medida que revisemos cada modulo, igual que se hizo en la grande.</t>
  </si>
  <si>
    <t>(constante en codigo, no una celda) ObtenerConstantesTecnologia</t>
  </si>
  <si>
    <t>Devuelve Eg_ref, dEgdT, RshExp, ratioRsh0 segun la tecnologia de celda (CdTe/CIGS/Mono-Si/Poli-Si) -- el modelo fisico de 5 parametros NO esta fijo a CdTe como sugiere el nombre SimuladorIV_CdTe_v2, esta generalizado a 4 tecnologias con constantes propias por cada una (Green 2003, Ramanathan 2003, Wu 2004, Mermoud 2005)</t>
  </si>
  <si>
    <t>ObtenerConstantesTecnologia (codigo fijo, sin hoja asociada)</t>
  </si>
  <si>
    <t>SimuladorIV_CdTe_v2 / TrasladarParametrosGT, y por extension Mod_MismatchMPPT, Mod_GraficoFF, Mod_GraficoFF_Real cuando el panel activo no es CdTe</t>
  </si>
  <si>
    <t>Codigo revisado en sesion 21-jul-2026, pegado directamente por el usuario</t>
  </si>
  <si>
    <t>Datos_Tecnicos!Tecnologia de celda (etiqueta exacta, fila ~47 segun captura previa)</t>
  </si>
  <si>
    <t>OJO -- riesgo real: si el texto no coincide EXACTAMENTE con 'CdTe', 'CIGS', 'Mono-Si' o 'Poli-Si' (comparacion insensible a mayusculas via UCase, pero sensible a como esta escrito el guion/tilde), ObtenerConstantesTecnologia cae en Case Else: usa valores CdTe por defecto con un MsgBox de aviso -- ese aviso se puede cerrar sin leer y el calculo continua con constantes que pueden no corresponder al panel real</t>
  </si>
  <si>
    <t>manual (usuario)</t>
  </si>
  <si>
    <t>ObtenerConstantesTecnologia</t>
  </si>
  <si>
    <t>Codigo revisado en sesion 21-jul-2026 -- riesgo analogo al ya conocido de A12 (Pmax vs Potencia): un texto de etiqueta/valor que no coincide exacto degrada en silencio, no con un error duro</t>
  </si>
  <si>
    <t>FF_Comparativo_Paneles (hoja completa) / GraficarFF_ComparativoPaneles (Mod_GraficoFF_Comparativo)</t>
  </si>
  <si>
    <t>RESUELTO -- es la implementacion real del pendiente que la Adenda v6 (Sec. 10.9/11.7/12.8) documentaba como 'desarrollo futuro' (comparacion multi-panel FF vs G). Recorre Paneles_Comparativa, toma cada fila marcada 'Si' en la columna de inclusion, calibra el modelo de diodo con los datos propios de CADA panel y las constantes de SU tecnologia (via ObtenerConstantesTecnologia), y superpone todas las curvas FF vs G en un mismo grafico.</t>
  </si>
  <si>
    <t>GraficarFF_ComparativoPaneles</t>
  </si>
  <si>
    <t>usuario (comparacion visual multi-panel)</t>
  </si>
  <si>
    <t>manual (catalogo) / ImportarCatalogoParaComparacion</t>
  </si>
  <si>
    <t>GraficarFF_ComparativoPaneles, VerificarCoefTRango (Mod_Validaciones)</t>
  </si>
  <si>
    <t>(hallazgo tecnico, no una celda) NsA=154 hardcodeado en Mod_GraficoFF y en el fallback de Mod_GraficoFF_Comparativo</t>
  </si>
  <si>
    <t>GraficarFF_vs_Irradiancia, GraficarFF_ComparativoPaneles (solo como fallback)</t>
  </si>
  <si>
    <t>(hallazgo tecnico, no una celda) GraficarFF_ComparativoPaneles lee Paneles_Comparativa por INDICE FIJO de columna, no por texto de encabezado</t>
  </si>
  <si>
    <t>Paneles_Comparativa (columnas 1-15 CONFIRMADAS por captura de pantalla real 21-jul-2026: 1=Incluir Si/No, 2=Nombre panel, 3=Tecnologia, 4=Voc(V), 5=Isc(A), 6=Vmp(V), 7=Imp(A), 8=Pmax(W), 9=Tk-beta Voc(%/C), 10=Tk-alfa Isc(%/C), 11=Tk-gamma Pmax(%/C), 12=NOCT(C), 13=Origen NOCT/Notas, 14=Fuente, 15=NsA(nxNs))</t>
  </si>
  <si>
    <t>CORREGIDO 21-jul-2026: la columna 2 se llama 'Nombre panel', NO 'Modelo' como se habia asumido antes -- ese error ya estaba en la verificacion de seguridad de GraficarFF_ComparativoPaneles y quedo corregido antes de que causara una falsa alarma en produccion. Las columnas 8, 11, 12, 13, 14 y 15 (antes marcadas como desconocidas o sin confirmar) quedan confirmadas: Pmax, Tk-gamma, NOCT, notas de origen, Fuente y NsA(nxNs) respectivamente -- esta ultima coincide EXACTAMENTE con la columna 15 que el codigo ya asumia, sin necesidad de caer al fallback</t>
  </si>
  <si>
    <t>Captura de pantalla real 21-jul-2026, corrige y reemplaza la version anterior de esta fila basada solo en el codigo (que asumia 'Modelo' incorrectamente)</t>
  </si>
  <si>
    <t>RESUELTO -- se reemplazo el 154 fijo por EstimarNsA (Mod_Validaciones): NsA = Voc_stc x 1,6905, factor calibrado empiricamente contra hoja_actualizada_panelescalculadora_con_NsA_FINAL.xlsx (21-jul-2026, 39 modelos reales con Voc y NsA propios, CdTe Y CIGS, desviacion menor a 0,4% en todas las filas). Para ASP-ST1-T40 (Voc=116V) esto da NsA=196,17 -- practicamente identico al 196,1 ya certificado en la Adenda v6 Sec.12.1, confirmando que la formula es correcta.</t>
  </si>
  <si>
    <t>Si Voc_stc tampoco esta disponible, cae a un generico por tecnologia (CdTe=196,1; CIGS=18; Mono-Si/Poli-Si=78) tomado de entradas YA calibradas del mismo catalogo real, y registra una advertencia en Log_Advertencias para que quede trazado.</t>
  </si>
  <si>
    <t>EstimarNsA (Mod_Validaciones)</t>
  </si>
  <si>
    <t>CONFIRMADO - RESUELTO</t>
  </si>
  <si>
    <t>RESUELTO POR COMPLETO -- TODAS las columnas de datos (Nombre panel, Tecnologia, Voc, Isc, Vmp, Imp, Tk-beta, Tk-alfa) ahora se localizan por texto de encabezado via LocalizarColPorTexto, mismo patron robusto que VerificarCatalogoIntegro. Encabezados reales confirmados por captura de pantalla 21-jul-2026. Si alguna columna indispensable no se encuentra, la macro se DETIENE con MsgBox critico y registra la advertencia, en vez de graficar datos equivocados en silencio.</t>
  </si>
  <si>
    <t>IMPORTANTE -- bug propio corregido antes de llegar a produccion: la primera version de este parche asumia que la columna 2 se llamaba 'Modelo', pero el encabezado real es 'Nombre panel'. Eso habria causado una FALSA ALARMA (la macro se habria detenido siempre). Corregido tras revisar la captura de pantalla real. La columna NsA tambien quedo confirmada por una segunda captura: encabezado real 'NsA (nxNs)' en la columna 15, coincide exactamente con lo que el codigo ya asumia -- ya no depende de un fallback sin verificar.</t>
  </si>
  <si>
    <t>LocalizarColPorTexto (funcion nueva dentro del mismo modulo)</t>
  </si>
  <si>
    <t>Datos_Proyecto_Consumo!A8:A36 (columna A)</t>
  </si>
  <si>
    <t>SEGUNDO incidente real del mismo patron de corrupcion 'Si' (el primero fue Datos_Tecnicos, 20-jul-2026) -- confirma que NO es un caso aislado. Diferencia clave: el respaldo del 14-jul confirma que estas filas deben quedar VACIAS (nunca tuvieron etiquetas reales), asi que la reparacion es LIMPIAR, no reconstruir texto como en Datos_Tecnicos</t>
  </si>
  <si>
    <t>manual / Mod_RepararDatosProyectoConsumo (reparacion de emergencia, solo limpia, no reconstruye)</t>
  </si>
  <si>
    <t>toda macro que use ObtenerParametro o BuscarValorPorEtiqueta sobre esta hoja</t>
  </si>
  <si>
    <t>Reparado y verificado en sesion 21-jul-2026, con verificacion de seguridad (A10='Si' antes de limpiar), igual patron que Mod_ReparaDatosTecnicos</t>
  </si>
  <si>
    <t>Datos_Proyecto_Consumo!A5 (comentario en columna C) vs. B5/B6 (valores reales)</t>
  </si>
  <si>
    <t>El comentario de la fila 5 describe un escenario de 160 paneles/115,2 m2 (area bruta) que NUNCA se soborno -- es una anotacion HISTORICA preexistente, ya presente en el respaldo del 14-jul, no una corrupcion nueva. El dato REAL vigente es 128 paneles con 97,34 m2 (area neta), y es internamente consistente (128/8=16 strings x 0,72 m2 = 92,16 m2, cabe en 97,34 m2)</t>
  </si>
  <si>
    <t>manual (decision de diseno documentada como comentario)</t>
  </si>
  <si>
    <t>informativo -- no bloquea ningun calculo, pero puede confundir a quien audite despues</t>
  </si>
  <si>
    <t>Aclarado 21-jul-2026 tras comparar contra respaldo real del 14-jul -- inicialmente se penso que era corrupcion nueva, se confirmo que no lo es</t>
  </si>
  <si>
    <t>N total de paneles del proyecto</t>
  </si>
  <si>
    <t>Mod_Validaciones.VerificarCatalogoIntegro</t>
  </si>
  <si>
    <t xml:space="preserve">8 de 33 modelos con posibles problemas:_x000D_
- Fila 25 (ECO HIBRID SNA US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26 (ECO HIBRID SNA US 15K):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27 (ECO HIBRID SNA US 6K):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28 (SNA2-EU-LT 10K):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29 (SNA2-EU-LT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30 (SNA2-EU-LT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31 (SINGLE FASE SNA-EU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32 (SINGLE FASE SNA-EU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t>
  </si>
  <si>
    <t>IMPORTACION TEMPORAL -- Catalogo_Inversores (misma estructura de 13 columnas)</t>
  </si>
  <si>
    <t>Completa una fila por inversor -- desde una ficha PDF ya normalizada, o a mano si no tienes la ficha original. Deja en blanco (o escribe 'N/D') lo que no sepas -- no es obligatorio llenar todo. Corre ImportarFichaEstandarizada cuando termines.</t>
  </si>
  <si>
    <t>PV33-1012TLV</t>
  </si>
  <si>
    <t>Inversor-Hibrido-3000W-24V-Pv3300-Fase-Dividida-TLV-Must.pdf</t>
  </si>
  <si>
    <t>PV33-1512TLV</t>
  </si>
  <si>
    <t>PV33-1524TLV</t>
  </si>
  <si>
    <t>PV33-2012TLV</t>
  </si>
  <si>
    <t>PV33-2024TLV</t>
  </si>
  <si>
    <t>PV33-3024TLV</t>
  </si>
  <si>
    <t>PV33-3048TLV</t>
  </si>
  <si>
    <t>PV33-4024TLV</t>
  </si>
  <si>
    <t>PV33-4048TLV</t>
  </si>
  <si>
    <t>PV33-5048TLV</t>
  </si>
  <si>
    <t>PV33-6048TLV</t>
  </si>
  <si>
    <t>PV35-8048TLV</t>
  </si>
  <si>
    <t>Inversor-Hibrido-8000W-48V-PV35-Fase-Dividida-TLV-Must.pdf</t>
  </si>
  <si>
    <t>PV35-10048TLV</t>
  </si>
  <si>
    <t>Inversor-Hibrido-10000W-48V-PV35-Fase-Dividida-TLV-Must.pdf</t>
  </si>
  <si>
    <t>PV35-12048TLV</t>
  </si>
  <si>
    <t>Inversor-Hibrido-12000W-48V-PV35-Fase-Dividida-TLV-Must.pdf</t>
  </si>
  <si>
    <t>PV36-8048TLV</t>
  </si>
  <si>
    <t>Inversor-Hibrido-8000W-48V-PV36-Fase-Dividida-TLV-Must.pdf</t>
  </si>
  <si>
    <t>PV36-10048TLV</t>
  </si>
  <si>
    <t>Inversor-Hibrido-10000W-48V-PV36-Fase-Dividida-TLV-Must.pdf</t>
  </si>
  <si>
    <t>PV36-12048TLV</t>
  </si>
  <si>
    <t>Inversor-Hibrido-12000W-48V-PV36-Fase-Dividida-TLV-Must.pdf</t>
  </si>
  <si>
    <t>Mod_ImportarFichaEstandarizada.ImportarFichaEstandarizada</t>
  </si>
  <si>
    <t>19 modelo(s) importado(s) a Catalogo_Inversores desde Importar_Temporal -- posibles duplicados detectados: SUN-7.6K-SG01LP1-US/EU (fila 22); SUN-8K-SG01LP1-US/EU (fila 23);.</t>
  </si>
  <si>
    <t xml:space="preserve">27 de 52 modelos con posibles problemas:_x000D_
- Fila 25 (ECO HIBRID SNA US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26 (ECO HIBRID SNA US 15K):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27 (ECO HIBRID SNA US 6K):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28 (SNA2-EU-LT 10K):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29 (SNA2-EU-LT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30 (SNA2-EU-LT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31 (SINGLE FASE SNA-EU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32 (SINGLE FASE SNA-EU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37 (PV33-1012TLV):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38 (PV33-1512TLV):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39 (PV33-1524TLV):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40 (PV33-2012TLV):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41 (PV33-2024TLV):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42 (PV33-3024TLV):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43 (PV33-3048TLV):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44 (PV33-4024TLV):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45 (PV33-4048TLV):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46 (PV33-5048TLV):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47 (PV33-6048TLV):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48 (PV35-8048TLV):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49 (PV35-10048TLV):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50 (PV35-12048TLV):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51 (PV36-8048TLV):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52 (PV36-10048TLV):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53 (PV36-12048TLV):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54 (SUN-7.6K-SG01LP1-US/EU): Modelo duplicado (ya aparece en fila 35). _x000D_
- Fila 55 (SUN-8K-SG01LP1-US/EU): Modelo duplicado (ya aparece en fila 36). _x000D_
</t>
  </si>
  <si>
    <t>POWEST-1KVA-12V</t>
  </si>
  <si>
    <t>Inversor-Solar-onda-Pura-Powest-3kV.pdf</t>
  </si>
  <si>
    <t>POWEST-3KVA-24V</t>
  </si>
  <si>
    <t>X3-PRO-10K-G2-LV</t>
  </si>
  <si>
    <t>PRO-10k12k15k.pdf</t>
  </si>
  <si>
    <t>X3-PRO-12K-G2-LV</t>
  </si>
  <si>
    <t>X3-PRO-15K-G2-LV</t>
  </si>
  <si>
    <t>LXP-LB-US-5K</t>
  </si>
  <si>
    <t>LXP-LB-US-5-10K-Datasheet-1.pdf</t>
  </si>
  <si>
    <t>LXP-LB-US-8K</t>
  </si>
  <si>
    <t>LXP-LB-US-10K</t>
  </si>
  <si>
    <t>LXP-LB-US-12K</t>
  </si>
  <si>
    <t>LXP-LB-US-12K-Datasheet.pdf</t>
  </si>
  <si>
    <t>SNA-3K</t>
  </si>
  <si>
    <t>SNA-3-6K-Datasheet.pdf</t>
  </si>
  <si>
    <t>SNA-4K</t>
  </si>
  <si>
    <t>SNA-5K</t>
  </si>
  <si>
    <t>SNA-6K</t>
  </si>
  <si>
    <t>SNA-PRO-EU-3K</t>
  </si>
  <si>
    <t>SNA-PRO-EU-3-6_5K-Datasheet-260410.pdf</t>
  </si>
  <si>
    <t>SNA-PRO-EU-4K</t>
  </si>
  <si>
    <t>SNA-PRO-EU-5K</t>
  </si>
  <si>
    <t>SNA-PRO-EU-6K</t>
  </si>
  <si>
    <t>SNA-PRO-EU-6.5K</t>
  </si>
  <si>
    <t>SNA-PRO-US-4.5K</t>
  </si>
  <si>
    <t>SNA-PRO-US-4_5K-Datasheet-20260410.pdf</t>
  </si>
  <si>
    <t>GETA-LB-EU-1.5K-12V</t>
  </si>
  <si>
    <t>Geta-1_5-6K-Datasheet260410.pdf</t>
  </si>
  <si>
    <t>GETA-LB-EU-2.5K-12V</t>
  </si>
  <si>
    <t>GETA-LB-EU-3.6K-24V</t>
  </si>
  <si>
    <t>GETA-LB-EU-3.6K-48V</t>
  </si>
  <si>
    <t>GETA-LB-EU-6K-48V</t>
  </si>
  <si>
    <t>24 modelo(s) importado(s) a Catalogo_Inversores desde Importar_Temporal.</t>
  </si>
  <si>
    <t xml:space="preserve">27 de 74 modelos con posibles problemas:_x000D_
- Fila 25 (ECO HIBRID SNA US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26 (ECO HIBRID SNA US 15K):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27 (ECO HIBRID SNA US 6K):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28 (SNA2-EU-LT 10K):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29 (SNA2-EU-LT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30 (SNA2-EU-LT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31 (SINGLE FASE SNA-EU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32 (SINGLE FASE SNA-EU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37 (PV33-1012TLV):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38 (PV33-1512TLV):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39 (PV33-1524TLV):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40 (PV33-2012TLV):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41 (PV33-2024TLV):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42 (PV33-3024TLV):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43 (PV33-3048TLV):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44 (PV33-4024TLV):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45 (PV33-4048TLV):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46 (PV33-5048TLV):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47 (PV33-6048TLV):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48 (PV35-8048TLV):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49 (PV35-10048TLV):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50 (PV35-12048TLV):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51 (PV36-8048TLV):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52 (PV36-10048TLV):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53 (PV36-12048TLV):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54 (POWEST-1KVA-12V): ARQUITECTURA DE BAJA TENSION: Tension DC Maxima (102V)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_x000D_
- Fila 55 (POWEST-3KVA-24V):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_x000D_
</t>
  </si>
  <si>
    <t>GEN-HB-US-25K</t>
  </si>
  <si>
    <t>GEN-HB-US-25K-Datasheet20260226.pdf</t>
  </si>
  <si>
    <t>GEN-LB-US-5K</t>
  </si>
  <si>
    <t>GEN-LB-US-5-13K-Datasheet20260527.pdf</t>
  </si>
  <si>
    <t>GEN-LB-US-6K</t>
  </si>
  <si>
    <t>GEN-LB-US-8K</t>
  </si>
  <si>
    <t>GEN-LB-US-10K</t>
  </si>
  <si>
    <t>GEN-LB-US-13K</t>
  </si>
  <si>
    <t>GEN-LB-US-13K-Datasheet.pdf</t>
  </si>
  <si>
    <t>GEN-LB-US-9.6K-PRO</t>
  </si>
  <si>
    <t>GEN-LB-US-9_6K-PRO-12K-PRO-13K-PRO-16K-Datasheet20260522.pdf</t>
  </si>
  <si>
    <t>GEN-LB-US-12K-PRO</t>
  </si>
  <si>
    <t>GEN-LB-US-13K-PRO</t>
  </si>
  <si>
    <t>GEN-LB-US-16K</t>
  </si>
  <si>
    <t>GEN2-LB-EU-7K</t>
  </si>
  <si>
    <t>GEN2-LB-EU-7-14K-Datasheet20260206.pdf</t>
  </si>
  <si>
    <t>GEN2-LB-BR-7.5K</t>
  </si>
  <si>
    <t>GEN2-LB-EU-8K</t>
  </si>
  <si>
    <t>GEN2-LB-EU-10K</t>
  </si>
  <si>
    <t>GEN2-LB-EU-12K</t>
  </si>
  <si>
    <t>GEN2-LB-EU-14K</t>
  </si>
  <si>
    <t>16 modelo(s) importado(s) a Catalogo_Inversores desde Importar_Temporal.</t>
  </si>
  <si>
    <t xml:space="preserve">27 de 90 modelos con posibles problemas:_x000D_
- Fila 25 (ECO HIBRID SNA US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26 (ECO HIBRID SNA US 15K):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27 (ECO HIBRID SNA US 6K):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28 (SNA2-EU-LT 10K):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29 (SNA2-EU-LT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30 (SNA2-EU-LT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31 (SINGLE FASE SNA-EU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32 (SINGLE FASE SNA-EU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37 (PV33-1012TLV):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38 (PV33-1512TLV):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39 (PV33-1524TLV):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40 (PV33-2012TLV):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41 (PV33-2024TLV):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42 (PV33-3024TLV):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43 (PV33-3048TLV):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44 (PV33-4024TLV):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45 (PV33-4048TLV):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46 (PV33-5048TLV):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47 (PV33-6048TLV):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48 (PV35-8048TLV):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49 (PV35-10048TLV):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50 (PV35-12048TLV):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51 (PV36-8048TLV):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52 (PV36-10048TLV):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53 (PV36-12048TLV):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54 (POWEST-1KVA-12V): ARQUITECTURA DE BAJA TENSION: Tension DC Maxima (102V)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_x000D_
- Fila 55 (POWEST-3KVA-24V):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_x000D_
</t>
  </si>
  <si>
    <t>AHS-6.3</t>
  </si>
  <si>
    <t>APsystems_AHS_6_3_Datasheet_-_ES.pdf</t>
  </si>
  <si>
    <t>AHS-6.3-SP</t>
  </si>
  <si>
    <t>APsystems_AHS_6_3-SP_Datasheet_-_ES.pdf</t>
  </si>
  <si>
    <t>DS3D</t>
  </si>
  <si>
    <t>APsystems_DS3D_Datasheet_-_ES.pdf</t>
  </si>
  <si>
    <t>DS3-H</t>
  </si>
  <si>
    <t>APsystems_DS3-H_Datasheet_-_ES.pdf</t>
  </si>
  <si>
    <t>DS3-LV</t>
  </si>
  <si>
    <t>APsystems_DS3-LV_Datasheet_-_MX-ES.pdf</t>
  </si>
  <si>
    <t>EZOG-LV</t>
  </si>
  <si>
    <t>APsystems_EZOG-LV_Datasheet_-_ES.pdf</t>
  </si>
  <si>
    <t>QS2</t>
  </si>
  <si>
    <t>APsystems_QS2_Datasheet_-_ES.pdf</t>
  </si>
  <si>
    <t>QT2-480</t>
  </si>
  <si>
    <t>APsystems_QT2-480_Datasheet_-_ES.pdf</t>
  </si>
  <si>
    <t>YC600B</t>
  </si>
  <si>
    <t>APsystems_YC600B_User_Manual_-_ES.pdf</t>
  </si>
  <si>
    <t>9 modelo(s) importado(s) a Catalogo_Inversores desde Importar_Temporal.</t>
  </si>
  <si>
    <t xml:space="preserve">36 de 99 modelos con posibles problemas:_x000D_
- Fila 25 (ECO HIBRID SNA US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26 (ECO HIBRID SNA US 15K):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27 (ECO HIBRID SNA US 6K):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28 (SNA2-EU-LT 10K):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29 (SNA2-EU-LT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30 (SNA2-EU-LT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31 (SINGLE FASE SNA-EU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32 (SINGLE FASE SNA-EU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_x000D_
- Fila 37 (PV33-1012TLV):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38 (PV33-1512TLV):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39 (PV33-1524TLV):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40 (PV33-2012TLV):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41 (PV33-2024TLV):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42 (PV33-3024TLV):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43 (PV33-3048TLV):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44 (PV33-4024TLV):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45 (PV33-4048TLV):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46 (PV33-5048TLV):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47 (PV33-6048TLV):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_x000D_
- Fila 48 (PV35-8048TLV):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49 (PV35-10048TLV):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50 (PV35-12048TLV):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51 (PV36-8048TLV):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52 (PV36-10048TLV):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53 (PV36-12048TLV):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_x000D_
- Fila 54 (POWEST-1KVA-12V): ARQUITECTURA DE BAJA TENSION: Tension DC Maxima (102V)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_x000D_
- Fila 55 (POWEST-3KVA-24V):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_x000D_
- Fila 94 (AHS-6.3): Corriente Maxima/Cortocircuito no numerica (valor: '22' / 'N/D'). Tension Arranque no numerica o vacia (valor: 'N/D'). _x000D_
- Fila 95 (AHS-6.3-SP): Corriente Maxima/Cortocircuito no numerica (valor: '22' / 'N/D'). Tension Arranque no numerica o vacia (valor: 'N/D'). _x000D_
- Fila 96 (DS3D): ARQUITECTURA DE BAJA TENSION: Tension DC Maxima (120V) es tipica de cargador off-grid O hibrido residencial grid-tie de bajo voltaje (NO necesariamente off-grid) -- verificar manualmente la arquitectura antes de certificar con OptimizarConfiguracionString, disenado para inversores de red de alta tension. _x000D_
- Fila 97 (DS3-H):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'20' / 'N/D'). _x000D_
- Fila 98 (DS3-LV):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_x000D_
- Fila 99 (EZOG-LV):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_x000D_
- Fila 100 (QS2):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_x000D_
- Fila 101 (QT2-480):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_x000D_
- Fila 102 (YC600B):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_x000D_
</t>
  </si>
  <si>
    <t>Eco Beast 6000</t>
  </si>
  <si>
    <t>Eco-Beast-Datasheet.pdf</t>
  </si>
  <si>
    <t>LSP 100K</t>
  </si>
  <si>
    <t>LSP-100K-Datasheet.pdf</t>
  </si>
  <si>
    <t>2 modelo(s) importado(s) a Catalogo_Inversores desde Importar_Temporal.</t>
  </si>
  <si>
    <t>-- firma por canal MPPT (asimetrico), ver nota --</t>
  </si>
  <si>
    <t>N_serie canal 1</t>
  </si>
  <si>
    <t>N_serie canal 2</t>
  </si>
  <si>
    <t>N_serie canal 3</t>
  </si>
  <si>
    <t>N_serie canal 4</t>
  </si>
  <si>
    <t>Rango valido compartido (N_min-N_max)</t>
  </si>
  <si>
    <t>23/07/2026 08:42</t>
  </si>
  <si>
    <t>8 a 8</t>
  </si>
  <si>
    <t>Mod_Auditoria.CertificarNSerieCanal</t>
  </si>
  <si>
    <t>N_serie=20 para el canal 2 esta FUERA del rango valido (8-8). NO se certifico.</t>
  </si>
  <si>
    <t xml:space="preserve">37 de 101 modelos con posibles problemas:
- Fila 25 (ECO HIBRID SNA US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26 (ECO HIBRID SNA US 15K):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27 (ECO HIBRID SNA US 6K):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28 (SNA2-EU-LT 10K):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29 (SNA2-EU-LT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30 (SNA2-EU-LT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31 (SINGLE FASE SNA-EU 12K):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32 (SINGLE FASE SNA-EU 14K):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 Fila 37 (PV33-1012TLV):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38 (PV33-1512TLV):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39 (PV33-1524TLV):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40 (PV33-2012TLV): ARQUITECTURA DE BAJA TENSION: Tension DC Maxima (100V)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41 (PV33-2024TLV):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42 (PV33-3024TLV):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43 (PV33-3048TLV):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44 (PV33-4024TLV):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45 (PV33-4048TLV):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46 (PV33-5048TLV):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47 (PV33-6048TLV):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'80' / 'N/D'). 
- Fila 48 (PV35-8048TLV):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 Fila 49 (PV35-10048TLV):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 Fila 50 (PV35-12048TLV):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 Fila 51 (PV36-8048TLV):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 Fila 52 (PV36-10048TLV):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 Fila 53 (PV36-12048TLV): ARQUITECTURA DE BAJA TENSION: Tension DC Maxima (250V)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'100' / 'N/D'). 
- Fila 54 (POWEST-1KVA-12V): ARQUITECTURA DE BAJA TENSION: Tension DC Maxima (102V)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 Fila 55 (POWEST-3KVA-24V): ARQUITECTURA DE BAJA TENSION: Tension DC Maxima (145V)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'N/D' / 'N/D'). 
- Fila 94 (AHS-6.3): Corriente Maxima/Cortocircuito no numerica (valor: '22' / 'N/D'). Tension Arranque no numerica o vacia (valor: 'N/D'). 
- Fila 95 (AHS-6.3-SP): Corriente Maxima/Cortocircuito no numerica (valor: '22' / 'N/D'). Tension Arranque no numerica o vacia (valor: 'N/D'). 
- Fila 96 (DS3D): ARQUITECTURA DE BAJA TENSION: Tension DC Maxima (120V) es tipica de cargador off-grid O hibrido residencial grid-tie de bajo voltaje (NO necesariamente off-grid) -- verificar manualmente la arquitectura antes de certificar con OptimizarConfiguracionString, disenado para inversores de red de alta tension. 
- Fila 97 (DS3-H):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Corriente Maxima/Cortocircuito no numerica (valor: '20' / 'N/D'). 
- Fila 98 (DS3-LV):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 Fila 99 (EZOG-LV):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 Fila 100 (QS2):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 Fila 101 (QT2-480):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 Fila 102 (YC600B): ARQUITECTURA DE BAJA TENSION: Tension DC Maxima (60V) es tipica de cargador off-grid O hibrido residencial grid-tie de bajo voltaje (NO necesariamente off-grid) -- verificar manualmente la arquitectura antes de certificar con OptimizarConfiguracionString, disenado para inversores de red de alta tension. 
- Fila 103 (Eco Beast 6000): ARQUITECTURA DE BAJA TENSION: Tension DC Maxima (480V) es tipica de cargador off-grid O hibrido residencial grid-tie de bajo voltaje (NO necesariamente off-grid) -- verificar manualmente la arquitectura antes de certificar con OptimizarConfiguracionString, disenado para inversores de red de alta tension.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</si>
</sst>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0\x"/>
    <numFmt numFmtId="166" formatCode="0.00\%"/>
    <numFmt numFmtId="167" formatCode="0.0000"/>
    <numFmt numFmtId="168" formatCode="0.000"/>
    <numFmt numFmtId="169" formatCode="dd/mm/yyyy\ hh:mm"/>
    <numFmt numFmtId="170" formatCode="dd/mm/yyyy\ hh:mm:ss"/>
  </numFmts>
  <fonts count="35" x14ac:knownFonts="1">
    <font>
      <sz val="11"/>
      <color theme="1"/>
      <name val="Calibri"/>
      <family val="2"/>
      <charset val="1"/>
    </font>
    <font>
      <b/>
      <sz val="11"/>
      <color rgb="FFFFFFFF"/>
      <name val="Cambria"/>
      <family val="1"/>
      <charset val="1"/>
    </font>
    <font>
      <b/>
      <i/>
      <sz val="11"/>
      <color rgb="FF1F4E78"/>
      <name val="Cambria"/>
      <family val="1"/>
      <charset val="1"/>
    </font>
    <font>
      <b/>
      <sz val="11"/>
      <name val="Cambria"/>
      <family val="1"/>
      <charset val="1"/>
    </font>
    <font>
      <b/>
      <sz val="11"/>
      <color rgb="FF0000FF"/>
      <name val="Cambria"/>
      <family val="1"/>
      <charset val="1"/>
    </font>
    <font>
      <i/>
      <sz val="9"/>
      <color rgb="FF666666"/>
      <name val="Cambria"/>
      <family val="1"/>
      <charset val="1"/>
    </font>
    <font>
      <b/>
      <sz val="11"/>
      <color rgb="FF0000FF"/>
      <name val="Cambria"/>
      <family val="1"/>
    </font>
    <font>
      <i/>
      <sz val="9"/>
      <color rgb="FF666666"/>
      <name val="Cambria"/>
      <family val="1"/>
    </font>
    <font>
      <i/>
      <sz val="9"/>
      <color rgb="FF990000"/>
      <name val="Cambria"/>
      <family val="1"/>
      <charset val="1"/>
    </font>
    <font>
      <b/>
      <i/>
      <sz val="11"/>
      <color rgb="FF1F4E78"/>
      <name val="Cambria"/>
      <family val="1"/>
    </font>
    <font>
      <b/>
      <sz val="11"/>
      <color rgb="FF008000"/>
      <name val="Cambria"/>
      <family val="1"/>
    </font>
    <font>
      <i/>
      <sz val="10"/>
      <color rgb="FF990000"/>
      <name val="Cambria"/>
      <family val="1"/>
      <charset val="1"/>
    </font>
    <font>
      <b/>
      <sz val="11"/>
      <name val="Cambria"/>
      <family val="1"/>
    </font>
    <font>
      <b/>
      <sz val="11"/>
      <color rgb="FF1F4E78"/>
      <name val="Calibri"/>
    </font>
    <font>
      <b/>
      <sz val="11"/>
      <name val="Calibri"/>
    </font>
    <font>
      <b/>
      <sz val="12"/>
      <color rgb="FFFFFFFF"/>
      <name val="Calibri"/>
    </font>
    <font>
      <u/>
      <sz val="11"/>
      <color theme="1"/>
      <name val="Calibri"/>
      <family val="2"/>
      <charset val="1"/>
    </font>
    <font>
      <b/>
      <sz val="11"/>
      <color theme="1"/>
      <name val="Calibri"/>
      <family val="2"/>
    </font>
    <font>
      <b/>
      <sz val="13"/>
      <color theme="1"/>
      <name val="Calibri"/>
      <family val="2"/>
    </font>
    <font>
      <i/>
      <sz val="11"/>
      <color theme="1"/>
      <name val="Calibri"/>
      <family val="2"/>
    </font>
    <font>
      <b/>
      <sz val="12"/>
      <color theme="1"/>
      <name val="Calibri"/>
      <family val="2"/>
    </font>
    <font>
      <b/>
      <sz val="11"/>
      <color rgb="FFFFFFFF"/>
      <name val="Calibri"/>
      <family val="2"/>
    </font>
    <font>
      <i/>
      <sz val="11"/>
      <color theme="1"/>
      <name val="Calibri"/>
      <family val="2"/>
      <charset val="1"/>
    </font>
    <font>
      <i/>
      <sz val="11"/>
      <color rgb="FFBF8F00"/>
      <name val="Calibri"/>
      <family val="2"/>
    </font>
    <font>
      <b/>
      <i/>
      <sz val="14"/>
      <color rgb="FF000000"/>
      <name val="Calibri"/>
      <family val="2"/>
    </font>
    <font>
      <b/>
      <sz val="11"/>
      <color rgb="FFBF0000"/>
      <name val="Calibri"/>
      <family val="2"/>
    </font>
    <font>
      <b/>
      <u/>
      <sz val="11"/>
      <color rgb="FF0000FF"/>
      <name val="Cambria"/>
      <family val="1"/>
      <charset val="1"/>
    </font>
    <font>
      <i/>
      <sz val="11"/>
      <color rgb="FFBF0000"/>
      <name val="Calibri"/>
      <family val="2"/>
    </font>
    <font>
      <b/>
      <sz val="11"/>
      <color rgb="FFBF8F00"/>
      <name val="Calibri"/>
      <family val="2"/>
    </font>
    <font>
      <sz val="9"/>
      <color indexed="81"/>
      <name val="Tahoma"/>
      <family val="2"/>
    </font>
    <font>
      <b/>
      <sz val="9"/>
      <color indexed="81"/>
      <name val="Tahoma"/>
      <family val="2"/>
    </font>
    <font>
      <i/>
      <sz val="9"/>
      <color rgb="FF990000"/>
      <name val="Cambria"/>
      <family val="1"/>
    </font>
    <font>
      <i/>
      <sz val="11"/>
      <color rgb="FF966400"/>
      <name val="Calibri"/>
      <family val="2"/>
    </font>
    <font>
      <i/>
      <sz val="11"/>
      <color rgb="FF1F3864"/>
      <name val="Calibri"/>
      <family val="2"/>
    </font>
    <font>
      <i/>
      <sz val="11"/>
      <color rgb="FF969696"/>
      <name val="Calibri"/>
      <family val="2"/>
    </font>
  </fonts>
  <fills count="20">
    <fill>
      <patternFill patternType="none"/>
    </fill>
    <fill>
      <patternFill patternType="gray125"/>
    </fill>
    <fill>
      <patternFill patternType="solid">
        <fgColor rgb="FF1F4E78"/>
        <bgColor rgb="FF003366"/>
      </patternFill>
    </fill>
    <fill>
      <patternFill patternType="solid">
        <fgColor rgb="FFD9E1F2"/>
        <bgColor rgb="FFC6EFCE"/>
      </patternFill>
    </fill>
    <fill>
      <patternFill patternType="solid">
        <fgColor rgb="FFFFFF00"/>
        <bgColor rgb="FFFFFF00"/>
      </patternFill>
    </fill>
    <fill>
      <patternFill patternType="solid">
        <fgColor rgb="FFC6EFCE"/>
        <bgColor indexed="64"/>
      </patternFill>
    </fill>
    <fill>
      <patternFill patternType="solid">
        <fgColor rgb="FFDDEBF7"/>
      </patternFill>
    </fill>
    <fill>
      <patternFill patternType="solid">
        <fgColor rgb="FF1F4E78"/>
      </patternFill>
    </fill>
    <fill>
      <patternFill patternType="solid">
        <fgColor rgb="FFDDEBF7"/>
        <bgColor indexed="64"/>
      </patternFill>
    </fill>
    <fill>
      <patternFill patternType="solid">
        <fgColor rgb="FF1F4E78"/>
        <bgColor indexed="64"/>
      </patternFill>
    </fill>
    <fill>
      <patternFill patternType="solid">
        <fgColor rgb="FFFFE699"/>
        <bgColor indexed="64"/>
      </patternFill>
    </fill>
    <fill>
      <patternFill patternType="solid">
        <fgColor rgb="FFFFEBEE"/>
        <bgColor indexed="64"/>
      </patternFill>
    </fill>
    <fill>
      <patternFill patternType="solid">
        <fgColor rgb="FFFFEB9C"/>
        <bgColor indexed="64"/>
      </patternFill>
    </fill>
    <fill>
      <patternFill patternType="solid">
        <fgColor rgb="FFFFC7CE"/>
        <bgColor indexed="64"/>
      </patternFill>
    </fill>
    <fill>
      <patternFill patternType="solid">
        <fgColor rgb="FF1F3864"/>
        <bgColor indexed="64"/>
      </patternFill>
    </fill>
    <fill>
      <patternFill patternType="solid">
        <fgColor rgb="FFFFFAEB"/>
        <bgColor indexed="64"/>
      </patternFill>
    </fill>
    <fill>
      <patternFill patternType="solid">
        <fgColor rgb="FF2E74B5"/>
        <bgColor indexed="64"/>
      </patternFill>
    </fill>
    <fill>
      <patternFill patternType="solid">
        <fgColor rgb="FFEBF3FB"/>
        <bgColor indexed="64"/>
      </patternFill>
    </fill>
    <fill>
      <patternFill patternType="solid">
        <fgColor rgb="FFFFF6E0"/>
        <bgColor indexed="64"/>
      </patternFill>
    </fill>
    <fill>
      <patternFill patternType="solid">
        <fgColor rgb="FFFFF2CC"/>
        <bgColor indexed="64"/>
      </patternFill>
    </fill>
  </fills>
  <borders count="4">
    <border>
      <left/>
      <right/>
      <top/>
      <bottom/>
      <diagonal/>
    </border>
    <border>
      <left style="thin">
        <color rgb="FFB7B7B7"/>
      </left>
      <right style="thin">
        <color rgb="FFB7B7B7"/>
      </right>
      <top style="thin">
        <color rgb="FFB7B7B7"/>
      </top>
      <bottom style="thin">
        <color rgb="FFB7B7B7"/>
      </bottom>
      <diagonal/>
    </border>
    <border>
      <left style="thin">
        <color auto="1"/>
      </left>
      <right style="thin">
        <color auto="1"/>
      </right>
      <top style="thin">
        <color auto="1"/>
      </top>
      <bottom style="thin">
        <color auto="1"/>
      </bottom>
      <diagonal/>
    </border>
    <border>
      <left style="thin">
        <color rgb="FFB7B7B7"/>
      </left>
      <right style="thin">
        <color rgb="FFB7B7B7"/>
      </right>
      <top style="thin">
        <color rgb="FFB7B7B7"/>
      </top>
      <bottom style="thin">
        <color auto="1"/>
      </bottom>
      <diagonal/>
    </border>
  </borders>
  <cellStyleXfs count="1">
    <xf numFmtId="0" fontId="0" fillId="0" borderId="0"/>
  </cellStyleXfs>
  <cellXfs count="96">
    <xf numFmtId="0" fontId="0" fillId="0" borderId="0" xfId="0"/>
    <xf numFmtId="0" fontId="0" fillId="0" borderId="0" xfId="0" applyAlignment="1"/>
    <xf numFmtId="0" fontId="3" fillId="0" borderId="0" xfId="0" applyFont="1" applyAlignment="1"/>
    <xf numFmtId="0" fontId="0" fillId="0" borderId="1" xfId="0" applyFont="1" applyBorder="1" applyAlignment="1"/>
    <xf numFmtId="0" fontId="4" fillId="0" borderId="1" xfId="0" applyFont="1" applyBorder="1" applyAlignment="1">
      <alignment horizontal="right"/>
    </xf>
    <xf numFmtId="0" fontId="5" fillId="0" borderId="1" xfId="0" applyFont="1" applyBorder="1" applyAlignment="1"/>
    <xf numFmtId="0" fontId="4" fillId="4" borderId="1" xfId="0" applyFont="1" applyFill="1" applyBorder="1" applyAlignment="1">
      <alignment horizontal="right"/>
    </xf>
    <xf numFmtId="0" fontId="6" fillId="0" borderId="1" xfId="0" applyFont="1" applyBorder="1" applyAlignment="1">
      <alignment horizontal="right"/>
    </xf>
    <xf numFmtId="0" fontId="7" fillId="0" borderId="1" xfId="0" applyFont="1" applyBorder="1" applyAlignment="1"/>
    <xf numFmtId="0" fontId="6" fillId="4" borderId="1" xfId="0" applyFont="1" applyFill="1" applyBorder="1" applyAlignment="1">
      <alignment horizontal="right"/>
    </xf>
    <xf numFmtId="0" fontId="10" fillId="0" borderId="1" xfId="0" applyFont="1" applyBorder="1" applyAlignment="1">
      <alignment horizontal="right"/>
    </xf>
    <xf numFmtId="0" fontId="4" fillId="0" borderId="1" xfId="0" applyFont="1" applyBorder="1" applyAlignment="1"/>
    <xf numFmtId="2" fontId="0" fillId="0" borderId="1" xfId="0" applyNumberFormat="1" applyBorder="1" applyAlignment="1"/>
    <xf numFmtId="164" fontId="0" fillId="0" borderId="1" xfId="0" applyNumberFormat="1" applyBorder="1" applyAlignment="1"/>
    <xf numFmtId="165" fontId="0" fillId="0" borderId="1" xfId="0" applyNumberFormat="1" applyBorder="1" applyAlignment="1"/>
    <xf numFmtId="0" fontId="0" fillId="0" borderId="1" xfId="0" applyBorder="1" applyAlignment="1"/>
    <xf numFmtId="3" fontId="0" fillId="0" borderId="1" xfId="0" applyNumberFormat="1" applyBorder="1" applyAlignment="1"/>
    <xf numFmtId="0" fontId="12" fillId="0" borderId="0" xfId="0" applyFont="1" applyAlignment="1"/>
    <xf numFmtId="0" fontId="0" fillId="0" borderId="1" xfId="0" applyBorder="1" applyAlignment="1">
      <alignment horizontal="center"/>
    </xf>
    <xf numFmtId="0" fontId="12" fillId="0" borderId="0" xfId="0" applyFont="1" applyAlignment="1">
      <alignment horizontal="center"/>
    </xf>
    <xf numFmtId="0" fontId="13" fillId="6" borderId="0" xfId="0" applyFont="1" applyFill="1"/>
    <xf numFmtId="0" fontId="14" fillId="0" borderId="0" xfId="0" applyFont="1"/>
    <xf numFmtId="0" fontId="17" fillId="0" borderId="0" xfId="0" applyFont="1"/>
    <xf numFmtId="0" fontId="18" fillId="0" borderId="0" xfId="0" applyFont="1"/>
    <xf numFmtId="0" fontId="19" fillId="0" borderId="0" xfId="0" applyFont="1"/>
    <xf numFmtId="0" fontId="17" fillId="8" borderId="0" xfId="0" applyFont="1" applyFill="1"/>
    <xf numFmtId="0" fontId="17" fillId="5" borderId="0" xfId="0" applyFont="1" applyFill="1"/>
    <xf numFmtId="0" fontId="20" fillId="5" borderId="0" xfId="0" applyFont="1" applyFill="1"/>
    <xf numFmtId="0" fontId="0" fillId="0" borderId="2" xfId="0" applyFill="1" applyBorder="1" applyAlignment="1"/>
    <xf numFmtId="0" fontId="0" fillId="0" borderId="2" xfId="0" applyBorder="1" applyAlignment="1"/>
    <xf numFmtId="0" fontId="21" fillId="9" borderId="0" xfId="0" applyFont="1" applyFill="1"/>
    <xf numFmtId="0" fontId="0" fillId="10" borderId="0" xfId="0" applyFill="1"/>
    <xf numFmtId="0" fontId="17" fillId="10" borderId="0" xfId="0" applyFont="1" applyFill="1"/>
    <xf numFmtId="0" fontId="0" fillId="11" borderId="0" xfId="0" applyFill="1"/>
    <xf numFmtId="0" fontId="0" fillId="0" borderId="2" xfId="0" applyBorder="1"/>
    <xf numFmtId="0" fontId="0" fillId="0" borderId="3" xfId="0" applyFont="1" applyBorder="1" applyAlignment="1"/>
    <xf numFmtId="0" fontId="6" fillId="0" borderId="3" xfId="0" applyFont="1" applyBorder="1" applyAlignment="1">
      <alignment horizontal="right"/>
    </xf>
    <xf numFmtId="0" fontId="7" fillId="0" borderId="3" xfId="0" applyFont="1" applyBorder="1" applyAlignment="1"/>
    <xf numFmtId="0" fontId="16" fillId="0" borderId="2" xfId="0" applyFont="1" applyBorder="1" applyAlignment="1"/>
    <xf numFmtId="0" fontId="22" fillId="0" borderId="0" xfId="0" applyFont="1"/>
    <xf numFmtId="0" fontId="23" fillId="0" borderId="0" xfId="0" applyFont="1"/>
    <xf numFmtId="0" fontId="25" fillId="0" borderId="0" xfId="0" applyFont="1"/>
    <xf numFmtId="9" fontId="0" fillId="0" borderId="0" xfId="0" applyNumberFormat="1"/>
    <xf numFmtId="1" fontId="0" fillId="0" borderId="0" xfId="0" applyNumberFormat="1"/>
    <xf numFmtId="164" fontId="0" fillId="0" borderId="0" xfId="0" applyNumberFormat="1"/>
    <xf numFmtId="2" fontId="0" fillId="0" borderId="0" xfId="0" applyNumberFormat="1"/>
    <xf numFmtId="2" fontId="0" fillId="5" borderId="0" xfId="0" applyNumberFormat="1" applyFill="1"/>
    <xf numFmtId="166" fontId="0" fillId="5" borderId="0" xfId="0" applyNumberFormat="1" applyFill="1"/>
    <xf numFmtId="0" fontId="16" fillId="0" borderId="1" xfId="0" applyFont="1" applyBorder="1" applyAlignment="1"/>
    <xf numFmtId="167" fontId="0" fillId="0" borderId="0" xfId="0" applyNumberFormat="1"/>
    <xf numFmtId="168" fontId="0" fillId="0" borderId="0" xfId="0" applyNumberFormat="1"/>
    <xf numFmtId="10" fontId="0" fillId="0" borderId="0" xfId="0" applyNumberFormat="1"/>
    <xf numFmtId="2" fontId="0" fillId="12" borderId="0" xfId="0" applyNumberFormat="1" applyFill="1"/>
    <xf numFmtId="166" fontId="0" fillId="12" borderId="0" xfId="0" applyNumberFormat="1" applyFill="1"/>
    <xf numFmtId="0" fontId="27" fillId="0" borderId="0" xfId="0" applyFont="1"/>
    <xf numFmtId="0" fontId="0" fillId="12" borderId="0" xfId="0" applyFill="1"/>
    <xf numFmtId="0" fontId="0" fillId="0" borderId="0" xfId="0"/>
    <xf numFmtId="2" fontId="0" fillId="13" borderId="0" xfId="0" applyNumberFormat="1" applyFill="1"/>
    <xf numFmtId="166" fontId="0" fillId="13" borderId="0" xfId="0" applyNumberFormat="1" applyFill="1"/>
    <xf numFmtId="0" fontId="21" fillId="14" borderId="2" xfId="0" applyFont="1" applyFill="1" applyBorder="1" applyAlignment="1">
      <alignment vertical="center" wrapText="1"/>
    </xf>
    <xf numFmtId="169" fontId="0" fillId="0" borderId="2" xfId="0" applyNumberFormat="1" applyBorder="1"/>
    <xf numFmtId="164" fontId="0" fillId="0" borderId="2" xfId="0" applyNumberFormat="1" applyBorder="1"/>
    <xf numFmtId="10" fontId="0" fillId="5" borderId="2" xfId="0" applyNumberFormat="1" applyFill="1" applyBorder="1"/>
    <xf numFmtId="10" fontId="0" fillId="12" borderId="2" xfId="0" applyNumberFormat="1" applyFill="1" applyBorder="1"/>
    <xf numFmtId="10" fontId="0" fillId="13" borderId="2" xfId="0" applyNumberFormat="1" applyFill="1" applyBorder="1"/>
    <xf numFmtId="0" fontId="28" fillId="15" borderId="0" xfId="0" applyFont="1" applyFill="1"/>
    <xf numFmtId="0" fontId="0" fillId="15" borderId="0" xfId="0" applyFill="1"/>
    <xf numFmtId="0" fontId="17" fillId="15" borderId="0" xfId="0" applyFont="1" applyFill="1"/>
    <xf numFmtId="0" fontId="0" fillId="5" borderId="0" xfId="0" applyFill="1"/>
    <xf numFmtId="0" fontId="0" fillId="0" borderId="0" xfId="0" applyFill="1"/>
    <xf numFmtId="0" fontId="17" fillId="0" borderId="0" xfId="0" applyFont="1" applyAlignment="1"/>
    <xf numFmtId="170" fontId="0" fillId="0" borderId="0" xfId="0" applyNumberFormat="1"/>
    <xf numFmtId="0" fontId="0" fillId="0" borderId="0" xfId="0" applyAlignment="1">
      <alignment wrapText="1"/>
    </xf>
    <xf numFmtId="0" fontId="26" fillId="0" borderId="1" xfId="0" applyFont="1" applyFill="1" applyBorder="1" applyAlignment="1">
      <alignment horizontal="right"/>
    </xf>
    <xf numFmtId="0" fontId="4" fillId="0" borderId="1" xfId="0" applyFont="1" applyFill="1" applyBorder="1" applyAlignment="1">
      <alignment horizontal="right"/>
    </xf>
    <xf numFmtId="0" fontId="21" fillId="14" borderId="0" xfId="0" applyFont="1" applyFill="1"/>
    <xf numFmtId="0" fontId="21" fillId="16" borderId="0" xfId="0" applyFont="1" applyFill="1"/>
    <xf numFmtId="0" fontId="0" fillId="17" borderId="0" xfId="0" applyFill="1"/>
    <xf numFmtId="0" fontId="0" fillId="18" borderId="0" xfId="0" applyFill="1"/>
    <xf numFmtId="0" fontId="32" fillId="0" borderId="0" xfId="0" applyFont="1"/>
    <xf numFmtId="0" fontId="16" fillId="0" borderId="0" xfId="0" applyFont="1" applyFill="1"/>
    <xf numFmtId="0" fontId="0" fillId="19" borderId="0" xfId="0" applyFill="1"/>
    <xf numFmtId="0" fontId="33" fillId="0" borderId="0" xfId="0" applyFont="1"/>
    <xf numFmtId="0" fontId="21" fillId="9" borderId="0" xfId="0" applyFont="1" applyFill="1" applyAlignment="1">
      <alignment wrapText="1"/>
    </xf>
    <xf numFmtId="0" fontId="34" fillId="0" borderId="0" xfId="0" applyFont="1" applyFill="1"/>
    <xf numFmtId="0" fontId="23" fillId="15" borderId="0" xfId="0" applyFont="1" applyFill="1"/>
    <xf numFmtId="49" fontId="0" fillId="15" borderId="0" xfId="0" quotePrefix="1" applyNumberFormat="1" applyFill="1"/>
    <xf numFmtId="0" fontId="15" fillId="7" borderId="0" xfId="0" applyFont="1" applyFill="1"/>
    <xf numFmtId="0" fontId="0" fillId="0" borderId="0" xfId="0"/>
    <xf numFmtId="0" fontId="9" fillId="3" borderId="0" xfId="0" applyFont="1" applyFill="1" applyBorder="1" applyAlignment="1"/>
    <xf numFmtId="0" fontId="1" fillId="2" borderId="0" xfId="0" applyFont="1" applyFill="1" applyBorder="1" applyAlignment="1">
      <alignment horizontal="left" vertical="center"/>
    </xf>
    <xf numFmtId="0" fontId="2" fillId="3" borderId="0" xfId="0" applyFont="1" applyFill="1" applyBorder="1" applyAlignment="1"/>
    <xf numFmtId="0" fontId="31" fillId="0" borderId="0" xfId="0" applyFont="1" applyBorder="1" applyAlignment="1">
      <alignment vertical="top" wrapText="1"/>
    </xf>
    <xf numFmtId="0" fontId="8" fillId="0" borderId="0" xfId="0" applyFont="1" applyBorder="1" applyAlignment="1">
      <alignment vertical="top" wrapText="1"/>
    </xf>
    <xf numFmtId="0" fontId="11" fillId="0" borderId="0" xfId="0" applyFont="1" applyBorder="1" applyAlignment="1">
      <alignment vertical="top" wrapText="1"/>
    </xf>
    <xf numFmtId="0" fontId="1" fillId="2" borderId="0" xfId="0" applyFont="1" applyFill="1" applyBorder="1" applyAlignment="1"/>
  </cellXfs>
  <cellStyles count="1">
    <cellStyle name="Normal" xfId="0" builtinId="0"/>
  </cellStyles>
  <dxfs count="44">
    <dxf>
      <font>
        <color rgb="FF9C5700"/>
      </font>
      <fill>
        <patternFill>
          <bgColor rgb="FFFFEB9C"/>
        </patternFill>
      </fill>
    </dxf>
    <dxf>
      <font>
        <color rgb="FF9C0006"/>
      </font>
      <fill>
        <patternFill>
          <bgColor rgb="FFFFC7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FFEB9C"/>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
      <fill>
        <patternFill>
          <bgColor rgb="FFFFC7CE"/>
        </patternFill>
      </fill>
    </dxf>
    <dxf>
      <fill>
        <patternFill>
          <bgColor rgb="FFC6EF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90000"/>
      <rgbColor rgb="FF008000"/>
      <rgbColor rgb="FF000080"/>
      <rgbColor rgb="FF808000"/>
      <rgbColor rgb="FF800080"/>
      <rgbColor rgb="FF008080"/>
      <rgbColor rgb="FFB7B7B7"/>
      <rgbColor rgb="FF808080"/>
      <rgbColor rgb="FF9999FF"/>
      <rgbColor rgb="FF993366"/>
      <rgbColor rgb="FFFFFFCC"/>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6EFCE"/>
      <rgbColor rgb="FFFFEB9C"/>
      <rgbColor rgb="FF99CCFF"/>
      <rgbColor rgb="FFFF99CC"/>
      <rgbColor rgb="FFCC99FF"/>
      <rgbColor rgb="FFFFC7CE"/>
      <rgbColor rgb="FF3366FF"/>
      <rgbColor rgb="FF33CCCC"/>
      <rgbColor rgb="FF99CC00"/>
      <rgbColor rgb="FFFFCC00"/>
      <rgbColor rgb="FFFF9900"/>
      <rgbColor rgb="FFFF6600"/>
      <rgbColor rgb="FF666666"/>
      <rgbColor rgb="FF969696"/>
      <rgbColor rgb="FF003366"/>
      <rgbColor rgb="FF339966"/>
      <rgbColor rgb="FF003300"/>
      <rgbColor rgb="FF333300"/>
      <rgbColor rgb="FF993300"/>
      <rgbColor rgb="FF993366"/>
      <rgbColor rgb="FF1F4E78"/>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Perdida por mismatch vs. % de sombra (escenario de prueba)</a:t>
            </a:r>
          </a:p>
        </c:rich>
      </c:tx>
      <c:overlay val="0"/>
    </c:title>
    <c:autoTitleDeleted val="0"/>
    <c:plotArea>
      <c:layout/>
      <c:lineChart>
        <c:grouping val="standard"/>
        <c:varyColors val="0"/>
        <c:ser>
          <c:idx val="0"/>
          <c:order val="0"/>
          <c:tx>
            <c:v>Perdida por mismatch (%)</c:v>
          </c:tx>
          <c:cat>
            <c:strRef>
              <c:f>Analisis_Mismatch_MPPT!$A$19:$A$22</c:f>
              <c:strCache>
                <c:ptCount val="4"/>
                <c:pt idx="0">
                  <c:v>Si</c:v>
                </c:pt>
                <c:pt idx="1">
                  <c:v>Si</c:v>
                </c:pt>
                <c:pt idx="2">
                  <c:v>Si</c:v>
                </c:pt>
                <c:pt idx="3">
                  <c:v>Si</c:v>
                </c:pt>
              </c:strCache>
            </c:strRef>
          </c:cat>
          <c:val>
            <c:numRef>
              <c:f>Analisis_Mismatch_MPPT!$M$19:$M$22</c:f>
              <c:numCache>
                <c:formatCode>0.00\%</c:formatCode>
                <c:ptCount val="4"/>
                <c:pt idx="0">
                  <c:v>0.21374252130989185</c:v>
                </c:pt>
                <c:pt idx="1">
                  <c:v>1.8140134292816625</c:v>
                </c:pt>
                <c:pt idx="2">
                  <c:v>3.9127956988576704</c:v>
                </c:pt>
                <c:pt idx="3">
                  <c:v>4.6060696677352029</c:v>
                </c:pt>
              </c:numCache>
            </c:numRef>
          </c:val>
          <c:smooth val="0"/>
          <c:extLst>
            <c:ext xmlns:c16="http://schemas.microsoft.com/office/drawing/2014/chart" uri="{C3380CC4-5D6E-409C-BE32-E72D297353CC}">
              <c16:uniqueId val="{00000000-FC7A-4F3D-864D-63BA1CCE9838}"/>
            </c:ext>
          </c:extLst>
        </c:ser>
        <c:dLbls>
          <c:showLegendKey val="0"/>
          <c:showVal val="0"/>
          <c:showCatName val="0"/>
          <c:showSerName val="0"/>
          <c:showPercent val="0"/>
          <c:showBubbleSize val="0"/>
        </c:dLbls>
        <c:marker val="1"/>
        <c:smooth val="0"/>
        <c:axId val="70672335"/>
        <c:axId val="70669423"/>
      </c:lineChart>
      <c:catAx>
        <c:axId val="70672335"/>
        <c:scaling>
          <c:orientation val="minMax"/>
        </c:scaling>
        <c:delete val="0"/>
        <c:axPos val="b"/>
        <c:title>
          <c:tx>
            <c:rich>
              <a:bodyPr/>
              <a:lstStyle/>
              <a:p>
                <a:pPr>
                  <a:defRPr/>
                </a:pPr>
                <a:r>
                  <a:rPr lang="es-CO"/>
                  <a:t>% Sombra en Grupo 2</a:t>
                </a:r>
              </a:p>
            </c:rich>
          </c:tx>
          <c:overlay val="0"/>
        </c:title>
        <c:numFmt formatCode="General" sourceLinked="1"/>
        <c:majorTickMark val="out"/>
        <c:minorTickMark val="none"/>
        <c:tickLblPos val="nextTo"/>
        <c:crossAx val="70669423"/>
        <c:crosses val="autoZero"/>
        <c:auto val="1"/>
        <c:lblAlgn val="ctr"/>
        <c:lblOffset val="100"/>
        <c:noMultiLvlLbl val="0"/>
      </c:catAx>
      <c:valAx>
        <c:axId val="70669423"/>
        <c:scaling>
          <c:orientation val="minMax"/>
        </c:scaling>
        <c:delete val="0"/>
        <c:axPos val="l"/>
        <c:majorGridlines/>
        <c:title>
          <c:tx>
            <c:rich>
              <a:bodyPr/>
              <a:lstStyle/>
              <a:p>
                <a:pPr>
                  <a:defRPr/>
                </a:pPr>
                <a:r>
                  <a:rPr lang="es-CO"/>
                  <a:t>Perdida (%)</a:t>
                </a:r>
              </a:p>
            </c:rich>
          </c:tx>
          <c:overlay val="0"/>
        </c:title>
        <c:numFmt formatCode="#,000\%" sourceLinked="0"/>
        <c:majorTickMark val="out"/>
        <c:minorTickMark val="none"/>
        <c:tickLblPos val="nextTo"/>
        <c:crossAx val="706723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Factor de Llenado (FF) vs. Irradiancia -- ASP-ST1-T40 (CdTe)</a:t>
            </a:r>
          </a:p>
        </c:rich>
      </c:tx>
      <c:overlay val="0"/>
    </c:title>
    <c:autoTitleDeleted val="0"/>
    <c:plotArea>
      <c:layout/>
      <c:lineChart>
        <c:grouping val="standard"/>
        <c:varyColors val="0"/>
        <c:ser>
          <c:idx val="0"/>
          <c:order val="0"/>
          <c:tx>
            <c:v>Factor de Llenado (FF)</c:v>
          </c:tx>
          <c:cat>
            <c:strRef>
              <c:f>FF_vs_Irradiancia!$A$12:$A$50</c:f>
              <c:strCache>
                <c:ptCount val="39"/>
                <c:pt idx="0">
                  <c:v>Si</c:v>
                </c:pt>
                <c:pt idx="1">
                  <c:v>Si</c:v>
                </c:pt>
                <c:pt idx="2">
                  <c:v>Si</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675</c:v>
                </c:pt>
                <c:pt idx="26">
                  <c:v>700</c:v>
                </c:pt>
                <c:pt idx="27">
                  <c:v>725</c:v>
                </c:pt>
                <c:pt idx="28">
                  <c:v>750</c:v>
                </c:pt>
                <c:pt idx="29">
                  <c:v>775</c:v>
                </c:pt>
                <c:pt idx="30">
                  <c:v>800</c:v>
                </c:pt>
                <c:pt idx="31">
                  <c:v>825</c:v>
                </c:pt>
                <c:pt idx="32">
                  <c:v>850</c:v>
                </c:pt>
                <c:pt idx="33">
                  <c:v>875</c:v>
                </c:pt>
                <c:pt idx="34">
                  <c:v>900</c:v>
                </c:pt>
                <c:pt idx="35">
                  <c:v>925</c:v>
                </c:pt>
                <c:pt idx="36">
                  <c:v>950</c:v>
                </c:pt>
                <c:pt idx="37">
                  <c:v>975</c:v>
                </c:pt>
                <c:pt idx="38">
                  <c:v>1000</c:v>
                </c:pt>
              </c:strCache>
            </c:strRef>
          </c:cat>
          <c:val>
            <c:numRef>
              <c:f>FF_vs_Irradiancia!$G$12:$G$50</c:f>
              <c:numCache>
                <c:formatCode>0.00%</c:formatCode>
                <c:ptCount val="39"/>
                <c:pt idx="0">
                  <c:v>0.69745576526012243</c:v>
                </c:pt>
                <c:pt idx="1">
                  <c:v>0.73250589791450305</c:v>
                </c:pt>
                <c:pt idx="2">
                  <c:v>0.74882934177870197</c:v>
                </c:pt>
                <c:pt idx="3">
                  <c:v>0.7569352599974053</c:v>
                </c:pt>
                <c:pt idx="4">
                  <c:v>0.76099942235911533</c:v>
                </c:pt>
                <c:pt idx="5">
                  <c:v>0.76266742988351455</c:v>
                </c:pt>
                <c:pt idx="6">
                  <c:v>0.76283491523567559</c:v>
                </c:pt>
                <c:pt idx="7">
                  <c:v>0.76199100561994093</c:v>
                </c:pt>
                <c:pt idx="8">
                  <c:v>0.76043396424845955</c:v>
                </c:pt>
                <c:pt idx="9">
                  <c:v>0.75834626178602638</c:v>
                </c:pt>
                <c:pt idx="10">
                  <c:v>0.7558539046296926</c:v>
                </c:pt>
                <c:pt idx="11">
                  <c:v>0.75306191737548178</c:v>
                </c:pt>
                <c:pt idx="12">
                  <c:v>0.75001628829488443</c:v>
                </c:pt>
                <c:pt idx="13">
                  <c:v>0.74677514226582242</c:v>
                </c:pt>
                <c:pt idx="14">
                  <c:v>0.74337492179510978</c:v>
                </c:pt>
                <c:pt idx="15">
                  <c:v>0.73984135201735923</c:v>
                </c:pt>
                <c:pt idx="16">
                  <c:v>0.73619689048919024</c:v>
                </c:pt>
                <c:pt idx="17">
                  <c:v>0.73246441203519452</c:v>
                </c:pt>
                <c:pt idx="18">
                  <c:v>0.72865202274398688</c:v>
                </c:pt>
                <c:pt idx="19">
                  <c:v>0.72478005899743048</c:v>
                </c:pt>
                <c:pt idx="20">
                  <c:v>0.72084951571172928</c:v>
                </c:pt>
                <c:pt idx="21">
                  <c:v>0.71688438974657653</c:v>
                </c:pt>
                <c:pt idx="22">
                  <c:v>0.71288351475303013</c:v>
                </c:pt>
                <c:pt idx="23">
                  <c:v>0.7088551548220462</c:v>
                </c:pt>
                <c:pt idx="24">
                  <c:v>0.70480697173132467</c:v>
                </c:pt>
                <c:pt idx="25">
                  <c:v>0.70074705497878775</c:v>
                </c:pt>
                <c:pt idx="26">
                  <c:v>0.69668017862146714</c:v>
                </c:pt>
                <c:pt idx="27">
                  <c:v>0.69261218444493611</c:v>
                </c:pt>
                <c:pt idx="28">
                  <c:v>0.68854913074049762</c:v>
                </c:pt>
                <c:pt idx="29">
                  <c:v>0.68449668562258992</c:v>
                </c:pt>
                <c:pt idx="30">
                  <c:v>0.68045831353937969</c:v>
                </c:pt>
                <c:pt idx="31">
                  <c:v>0.67644123230116149</c:v>
                </c:pt>
                <c:pt idx="32">
                  <c:v>0.67244873328159482</c:v>
                </c:pt>
                <c:pt idx="33">
                  <c:v>0.66848435902682235</c:v>
                </c:pt>
                <c:pt idx="34">
                  <c:v>0.6645534742307766</c:v>
                </c:pt>
                <c:pt idx="35">
                  <c:v>0.66066040176506236</c:v>
                </c:pt>
                <c:pt idx="36">
                  <c:v>0.65680809091096459</c:v>
                </c:pt>
                <c:pt idx="37">
                  <c:v>0.65299944113672981</c:v>
                </c:pt>
                <c:pt idx="38">
                  <c:v>0.64923946506318941</c:v>
                </c:pt>
              </c:numCache>
            </c:numRef>
          </c:val>
          <c:smooth val="0"/>
          <c:extLst>
            <c:ext xmlns:c16="http://schemas.microsoft.com/office/drawing/2014/chart" uri="{C3380CC4-5D6E-409C-BE32-E72D297353CC}">
              <c16:uniqueId val="{00000001-9106-4FD1-8BFE-CA1C8B2E1259}"/>
            </c:ext>
          </c:extLst>
        </c:ser>
        <c:dLbls>
          <c:showLegendKey val="0"/>
          <c:showVal val="0"/>
          <c:showCatName val="0"/>
          <c:showSerName val="0"/>
          <c:showPercent val="0"/>
          <c:showBubbleSize val="0"/>
        </c:dLbls>
        <c:marker val="1"/>
        <c:smooth val="0"/>
        <c:axId val="627664991"/>
        <c:axId val="627665407"/>
      </c:lineChart>
      <c:catAx>
        <c:axId val="627664991"/>
        <c:scaling>
          <c:orientation val="minMax"/>
        </c:scaling>
        <c:delete val="0"/>
        <c:axPos val="b"/>
        <c:title>
          <c:tx>
            <c:rich>
              <a:bodyPr/>
              <a:lstStyle/>
              <a:p>
                <a:pPr>
                  <a:defRPr/>
                </a:pPr>
                <a:r>
                  <a:rPr lang="es-CO"/>
                  <a:t>Irradiancia G (W/m2)</a:t>
                </a:r>
              </a:p>
            </c:rich>
          </c:tx>
          <c:overlay val="0"/>
        </c:title>
        <c:numFmt formatCode="General" sourceLinked="1"/>
        <c:majorTickMark val="out"/>
        <c:minorTickMark val="none"/>
        <c:tickLblPos val="nextTo"/>
        <c:crossAx val="627665407"/>
        <c:crosses val="autoZero"/>
        <c:auto val="1"/>
        <c:lblAlgn val="ctr"/>
        <c:lblOffset val="100"/>
        <c:noMultiLvlLbl val="0"/>
      </c:catAx>
      <c:valAx>
        <c:axId val="627665407"/>
        <c:scaling>
          <c:orientation val="minMax"/>
        </c:scaling>
        <c:delete val="0"/>
        <c:axPos val="l"/>
        <c:majorGridlines/>
        <c:title>
          <c:tx>
            <c:rich>
              <a:bodyPr/>
              <a:lstStyle/>
              <a:p>
                <a:pPr>
                  <a:defRPr/>
                </a:pPr>
                <a:r>
                  <a:rPr lang="es-CO"/>
                  <a:t>FF (%)</a:t>
                </a:r>
              </a:p>
            </c:rich>
          </c:tx>
          <c:overlay val="0"/>
        </c:title>
        <c:numFmt formatCode="#,#00%" sourceLinked="0"/>
        <c:majorTickMark val="out"/>
        <c:minorTickMark val="none"/>
        <c:tickLblPos val="nextTo"/>
        <c:crossAx val="62766499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Factor de Llenado -- Isotermico vs. Condiciones Reales</a:t>
            </a:r>
          </a:p>
        </c:rich>
      </c:tx>
      <c:overlay val="0"/>
    </c:title>
    <c:autoTitleDeleted val="0"/>
    <c:plotArea>
      <c:layout/>
      <c:lineChart>
        <c:grouping val="standard"/>
        <c:varyColors val="0"/>
        <c:ser>
          <c:idx val="0"/>
          <c:order val="0"/>
          <c:tx>
            <c:v>FF isotermico (T=25C)</c:v>
          </c:tx>
          <c:cat>
            <c:strRef>
              <c:f>FF_vs_G_TReal!$A$14:$A$52</c:f>
              <c:strCache>
                <c:ptCount val="39"/>
                <c:pt idx="0">
                  <c:v>Si</c:v>
                </c:pt>
                <c:pt idx="1">
                  <c:v>Si</c:v>
                </c:pt>
                <c:pt idx="2">
                  <c:v>Si</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625</c:v>
                </c:pt>
                <c:pt idx="24">
                  <c:v>650</c:v>
                </c:pt>
                <c:pt idx="25">
                  <c:v>675</c:v>
                </c:pt>
                <c:pt idx="26">
                  <c:v>700</c:v>
                </c:pt>
                <c:pt idx="27">
                  <c:v>725</c:v>
                </c:pt>
                <c:pt idx="28">
                  <c:v>750</c:v>
                </c:pt>
                <c:pt idx="29">
                  <c:v>775</c:v>
                </c:pt>
                <c:pt idx="30">
                  <c:v>800</c:v>
                </c:pt>
                <c:pt idx="31">
                  <c:v>825</c:v>
                </c:pt>
                <c:pt idx="32">
                  <c:v>850</c:v>
                </c:pt>
                <c:pt idx="33">
                  <c:v>875</c:v>
                </c:pt>
                <c:pt idx="34">
                  <c:v>900</c:v>
                </c:pt>
                <c:pt idx="35">
                  <c:v>925</c:v>
                </c:pt>
                <c:pt idx="36">
                  <c:v>950</c:v>
                </c:pt>
                <c:pt idx="37">
                  <c:v>975</c:v>
                </c:pt>
                <c:pt idx="38">
                  <c:v>1000</c:v>
                </c:pt>
              </c:strCache>
            </c:strRef>
          </c:cat>
          <c:val>
            <c:numRef>
              <c:f>FF_vs_G_TReal!$C$14:$C$52</c:f>
              <c:numCache>
                <c:formatCode>0.00%</c:formatCode>
                <c:ptCount val="39"/>
                <c:pt idx="0">
                  <c:v>0.69745576526012243</c:v>
                </c:pt>
                <c:pt idx="1">
                  <c:v>0.73250589791450305</c:v>
                </c:pt>
                <c:pt idx="2">
                  <c:v>0.74882934177870197</c:v>
                </c:pt>
                <c:pt idx="3">
                  <c:v>0.7569352599974053</c:v>
                </c:pt>
                <c:pt idx="4">
                  <c:v>0.76099942235911533</c:v>
                </c:pt>
                <c:pt idx="5">
                  <c:v>0.76266742988351455</c:v>
                </c:pt>
                <c:pt idx="6">
                  <c:v>0.76283491523567559</c:v>
                </c:pt>
                <c:pt idx="7">
                  <c:v>0.76199100561994093</c:v>
                </c:pt>
                <c:pt idx="8">
                  <c:v>0.76043396424845955</c:v>
                </c:pt>
                <c:pt idx="9">
                  <c:v>0.75834626178602638</c:v>
                </c:pt>
                <c:pt idx="10">
                  <c:v>0.7558539046296926</c:v>
                </c:pt>
                <c:pt idx="11">
                  <c:v>0.75306191737548178</c:v>
                </c:pt>
                <c:pt idx="12">
                  <c:v>0.75001628829488443</c:v>
                </c:pt>
                <c:pt idx="13">
                  <c:v>0.74677514226582242</c:v>
                </c:pt>
                <c:pt idx="14">
                  <c:v>0.74337492179510978</c:v>
                </c:pt>
                <c:pt idx="15">
                  <c:v>0.73984135201735923</c:v>
                </c:pt>
                <c:pt idx="16">
                  <c:v>0.73619689048919024</c:v>
                </c:pt>
                <c:pt idx="17">
                  <c:v>0.73246441203519452</c:v>
                </c:pt>
                <c:pt idx="18">
                  <c:v>0.72865202274398688</c:v>
                </c:pt>
                <c:pt idx="19">
                  <c:v>0.72478005899743048</c:v>
                </c:pt>
                <c:pt idx="20">
                  <c:v>0.72084951571172928</c:v>
                </c:pt>
                <c:pt idx="21">
                  <c:v>0.71688438974657653</c:v>
                </c:pt>
                <c:pt idx="22">
                  <c:v>0.71288351475303013</c:v>
                </c:pt>
                <c:pt idx="23">
                  <c:v>0.7088551548220462</c:v>
                </c:pt>
                <c:pt idx="24">
                  <c:v>0.70480697173132467</c:v>
                </c:pt>
                <c:pt idx="25">
                  <c:v>0.70074705497878775</c:v>
                </c:pt>
                <c:pt idx="26">
                  <c:v>0.69668017862146714</c:v>
                </c:pt>
                <c:pt idx="27">
                  <c:v>0.69261218444493611</c:v>
                </c:pt>
                <c:pt idx="28">
                  <c:v>0.68854913074049762</c:v>
                </c:pt>
                <c:pt idx="29">
                  <c:v>0.68449668562258992</c:v>
                </c:pt>
                <c:pt idx="30">
                  <c:v>0.68045831353937969</c:v>
                </c:pt>
                <c:pt idx="31">
                  <c:v>0.67644123230116149</c:v>
                </c:pt>
                <c:pt idx="32">
                  <c:v>0.67244873328159482</c:v>
                </c:pt>
                <c:pt idx="33">
                  <c:v>0.66848435902682235</c:v>
                </c:pt>
                <c:pt idx="34">
                  <c:v>0.6645534742307766</c:v>
                </c:pt>
                <c:pt idx="35">
                  <c:v>0.66066040176506236</c:v>
                </c:pt>
                <c:pt idx="36">
                  <c:v>0.65680809091096459</c:v>
                </c:pt>
                <c:pt idx="37">
                  <c:v>0.65299944113672981</c:v>
                </c:pt>
                <c:pt idx="38">
                  <c:v>0.64923946506318941</c:v>
                </c:pt>
              </c:numCache>
            </c:numRef>
          </c:val>
          <c:smooth val="0"/>
          <c:extLst>
            <c:ext xmlns:c16="http://schemas.microsoft.com/office/drawing/2014/chart" uri="{C3380CC4-5D6E-409C-BE32-E72D297353CC}">
              <c16:uniqueId val="{00000001-A326-4313-919C-FC7201D80F0C}"/>
            </c:ext>
          </c:extLst>
        </c:ser>
        <c:ser>
          <c:idx val="1"/>
          <c:order val="1"/>
          <c:tx>
            <c:v>FF real (T via NOCT)</c:v>
          </c:tx>
          <c:cat>
            <c:strRef>
              <c:f>FF_vs_G_TReal!$A$14:$A$52</c:f>
              <c:strCache>
                <c:ptCount val="39"/>
                <c:pt idx="0">
                  <c:v>Si</c:v>
                </c:pt>
                <c:pt idx="1">
                  <c:v>Si</c:v>
                </c:pt>
                <c:pt idx="2">
                  <c:v>Si</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625</c:v>
                </c:pt>
                <c:pt idx="24">
                  <c:v>650</c:v>
                </c:pt>
                <c:pt idx="25">
                  <c:v>675</c:v>
                </c:pt>
                <c:pt idx="26">
                  <c:v>700</c:v>
                </c:pt>
                <c:pt idx="27">
                  <c:v>725</c:v>
                </c:pt>
                <c:pt idx="28">
                  <c:v>750</c:v>
                </c:pt>
                <c:pt idx="29">
                  <c:v>775</c:v>
                </c:pt>
                <c:pt idx="30">
                  <c:v>800</c:v>
                </c:pt>
                <c:pt idx="31">
                  <c:v>825</c:v>
                </c:pt>
                <c:pt idx="32">
                  <c:v>850</c:v>
                </c:pt>
                <c:pt idx="33">
                  <c:v>875</c:v>
                </c:pt>
                <c:pt idx="34">
                  <c:v>900</c:v>
                </c:pt>
                <c:pt idx="35">
                  <c:v>925</c:v>
                </c:pt>
                <c:pt idx="36">
                  <c:v>950</c:v>
                </c:pt>
                <c:pt idx="37">
                  <c:v>975</c:v>
                </c:pt>
                <c:pt idx="38">
                  <c:v>1000</c:v>
                </c:pt>
              </c:strCache>
            </c:strRef>
          </c:cat>
          <c:val>
            <c:numRef>
              <c:f>FF_vs_G_TReal!$D$14:$D$52</c:f>
              <c:numCache>
                <c:formatCode>0.00%</c:formatCode>
                <c:ptCount val="39"/>
                <c:pt idx="0">
                  <c:v>0.69740056161255681</c:v>
                </c:pt>
                <c:pt idx="1">
                  <c:v>0.73333748052109993</c:v>
                </c:pt>
                <c:pt idx="2">
                  <c:v>0.74930921658760286</c:v>
                </c:pt>
                <c:pt idx="3">
                  <c:v>0.75703771637590789</c:v>
                </c:pt>
                <c:pt idx="4">
                  <c:v>0.76051374349617329</c:v>
                </c:pt>
                <c:pt idx="5">
                  <c:v>0.76151286466141699</c:v>
                </c:pt>
                <c:pt idx="6">
                  <c:v>0.76096068977379538</c:v>
                </c:pt>
                <c:pt idx="7">
                  <c:v>0.75933302967778615</c:v>
                </c:pt>
                <c:pt idx="8">
                  <c:v>0.75692976201693529</c:v>
                </c:pt>
                <c:pt idx="9">
                  <c:v>0.75398223694542865</c:v>
                </c:pt>
                <c:pt idx="10">
                  <c:v>0.75058446290461411</c:v>
                </c:pt>
                <c:pt idx="11">
                  <c:v>0.74685290834258389</c:v>
                </c:pt>
                <c:pt idx="12">
                  <c:v>0.74283634256727438</c:v>
                </c:pt>
                <c:pt idx="13">
                  <c:v>0.73860499972003169</c:v>
                </c:pt>
                <c:pt idx="14">
                  <c:v>0.73418387664387141</c:v>
                </c:pt>
                <c:pt idx="15">
                  <c:v>0.72960405962363273</c:v>
                </c:pt>
                <c:pt idx="16">
                  <c:v>0.72489026120055466</c:v>
                </c:pt>
                <c:pt idx="17">
                  <c:v>0.7200613569654547</c:v>
                </c:pt>
                <c:pt idx="18">
                  <c:v>0.71513558100104391</c:v>
                </c:pt>
                <c:pt idx="19">
                  <c:v>0.71012398481234451</c:v>
                </c:pt>
                <c:pt idx="20">
                  <c:v>0.70503865930595644</c:v>
                </c:pt>
                <c:pt idx="21">
                  <c:v>0.69988811750930147</c:v>
                </c:pt>
                <c:pt idx="22">
                  <c:v>0.69468658394011029</c:v>
                </c:pt>
                <c:pt idx="23">
                  <c:v>0.68943634754648786</c:v>
                </c:pt>
                <c:pt idx="24">
                  <c:v>0.68414689652240701</c:v>
                </c:pt>
                <c:pt idx="25">
                  <c:v>0.67882358028639345</c:v>
                </c:pt>
                <c:pt idx="26">
                  <c:v>0.67347486319260819</c:v>
                </c:pt>
                <c:pt idx="27">
                  <c:v>0.66810409151897843</c:v>
                </c:pt>
                <c:pt idx="28">
                  <c:v>0.66271674330914387</c:v>
                </c:pt>
                <c:pt idx="29">
                  <c:v>0.65731840165243061</c:v>
                </c:pt>
                <c:pt idx="30">
                  <c:v>0.6519128942891248</c:v>
                </c:pt>
                <c:pt idx="31">
                  <c:v>0.64650441161856076</c:v>
                </c:pt>
                <c:pt idx="32">
                  <c:v>0.64109638154473969</c:v>
                </c:pt>
                <c:pt idx="33">
                  <c:v>0.63569361976071348</c:v>
                </c:pt>
                <c:pt idx="34">
                  <c:v>0.63029765801321891</c:v>
                </c:pt>
                <c:pt idx="35">
                  <c:v>0.62491204289909408</c:v>
                </c:pt>
                <c:pt idx="36">
                  <c:v>0.61953894085166006</c:v>
                </c:pt>
                <c:pt idx="37">
                  <c:v>0.61418026450976981</c:v>
                </c:pt>
                <c:pt idx="38">
                  <c:v>0.60883804028981769</c:v>
                </c:pt>
              </c:numCache>
            </c:numRef>
          </c:val>
          <c:smooth val="0"/>
          <c:extLst>
            <c:ext xmlns:c16="http://schemas.microsoft.com/office/drawing/2014/chart" uri="{C3380CC4-5D6E-409C-BE32-E72D297353CC}">
              <c16:uniqueId val="{00000002-A326-4313-919C-FC7201D80F0C}"/>
            </c:ext>
          </c:extLst>
        </c:ser>
        <c:dLbls>
          <c:showLegendKey val="0"/>
          <c:showVal val="0"/>
          <c:showCatName val="0"/>
          <c:showSerName val="0"/>
          <c:showPercent val="0"/>
          <c:showBubbleSize val="0"/>
        </c:dLbls>
        <c:marker val="1"/>
        <c:smooth val="0"/>
        <c:axId val="626837231"/>
        <c:axId val="626839727"/>
      </c:lineChart>
      <c:catAx>
        <c:axId val="626837231"/>
        <c:scaling>
          <c:orientation val="minMax"/>
        </c:scaling>
        <c:delete val="0"/>
        <c:axPos val="b"/>
        <c:title>
          <c:tx>
            <c:rich>
              <a:bodyPr/>
              <a:lstStyle/>
              <a:p>
                <a:pPr>
                  <a:defRPr/>
                </a:pPr>
                <a:r>
                  <a:rPr lang="es-CO"/>
                  <a:t>Irradiancia G (W/m2)</a:t>
                </a:r>
              </a:p>
            </c:rich>
          </c:tx>
          <c:overlay val="0"/>
        </c:title>
        <c:numFmt formatCode="General" sourceLinked="1"/>
        <c:majorTickMark val="out"/>
        <c:minorTickMark val="none"/>
        <c:tickLblPos val="nextTo"/>
        <c:crossAx val="626839727"/>
        <c:crosses val="autoZero"/>
        <c:auto val="1"/>
        <c:lblAlgn val="ctr"/>
        <c:lblOffset val="100"/>
        <c:noMultiLvlLbl val="0"/>
      </c:catAx>
      <c:valAx>
        <c:axId val="626839727"/>
        <c:scaling>
          <c:orientation val="minMax"/>
        </c:scaling>
        <c:delete val="0"/>
        <c:axPos val="l"/>
        <c:majorGridlines/>
        <c:title>
          <c:tx>
            <c:rich>
              <a:bodyPr/>
              <a:lstStyle/>
              <a:p>
                <a:pPr>
                  <a:defRPr/>
                </a:pPr>
                <a:r>
                  <a:rPr lang="es-CO"/>
                  <a:t>FF (%)</a:t>
                </a:r>
              </a:p>
            </c:rich>
          </c:tx>
          <c:overlay val="0"/>
        </c:title>
        <c:numFmt formatCode="#,#00%" sourceLinked="0"/>
        <c:majorTickMark val="out"/>
        <c:minorTickMark val="none"/>
        <c:tickLblPos val="nextTo"/>
        <c:crossAx val="62683723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u="sng"/>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Factor de Llenado (FF) vs. Irradiancia -- Comparacion de paneles</a:t>
            </a:r>
          </a:p>
        </c:rich>
      </c:tx>
      <c:overlay val="0"/>
    </c:title>
    <c:autoTitleDeleted val="0"/>
    <c:plotArea>
      <c:layout/>
      <c:lineChart>
        <c:grouping val="standard"/>
        <c:varyColors val="0"/>
        <c:ser>
          <c:idx val="0"/>
          <c:order val="0"/>
          <c:tx>
            <c:v>ASP-LAM3-T0 (1200x1800mm)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FF_Comparativo_Paneles!$B$5:$B$43</c:f>
              <c:numCache>
                <c:formatCode>0.00%</c:formatCode>
                <c:ptCount val="39"/>
                <c:pt idx="0">
                  <c:v>0.72793166233312112</c:v>
                </c:pt>
                <c:pt idx="1">
                  <c:v>0.74867202667463084</c:v>
                </c:pt>
                <c:pt idx="2">
                  <c:v>0.7584748041719046</c:v>
                </c:pt>
                <c:pt idx="3">
                  <c:v>0.76369161477772463</c:v>
                </c:pt>
                <c:pt idx="4">
                  <c:v>0.76652271205099598</c:v>
                </c:pt>
                <c:pt idx="5">
                  <c:v>0.76795294304602213</c:v>
                </c:pt>
                <c:pt idx="6">
                  <c:v>0.76847262428485097</c:v>
                </c:pt>
                <c:pt idx="7">
                  <c:v>0.76837030259931194</c:v>
                </c:pt>
                <c:pt idx="8">
                  <c:v>0.76781921320611135</c:v>
                </c:pt>
                <c:pt idx="9">
                  <c:v>0.76693246281749838</c:v>
                </c:pt>
                <c:pt idx="10">
                  <c:v>0.76578589909610406</c:v>
                </c:pt>
                <c:pt idx="11">
                  <c:v>0.76443425456460246</c:v>
                </c:pt>
                <c:pt idx="12">
                  <c:v>0.76291646564904259</c:v>
                </c:pt>
                <c:pt idx="13">
                  <c:v>0.76126176337724083</c:v>
                </c:pt>
                <c:pt idx="14">
                  <c:v>0.75949009970622516</c:v>
                </c:pt>
                <c:pt idx="15">
                  <c:v>0.75762433381638339</c:v>
                </c:pt>
                <c:pt idx="16">
                  <c:v>0.75567264143569945</c:v>
                </c:pt>
                <c:pt idx="17">
                  <c:v>0.75365137193824161</c:v>
                </c:pt>
                <c:pt idx="18">
                  <c:v>0.75156487245457881</c:v>
                </c:pt>
                <c:pt idx="19">
                  <c:v>0.74942453624008942</c:v>
                </c:pt>
                <c:pt idx="20">
                  <c:v>0.74723535114418538</c:v>
                </c:pt>
                <c:pt idx="21">
                  <c:v>0.74500388056180167</c:v>
                </c:pt>
                <c:pt idx="22">
                  <c:v>0.74273550901331409</c:v>
                </c:pt>
                <c:pt idx="23">
                  <c:v>0.74043426919241617</c:v>
                </c:pt>
                <c:pt idx="24">
                  <c:v>0.73810642873705778</c:v>
                </c:pt>
                <c:pt idx="25">
                  <c:v>0.73575457896510899</c:v>
                </c:pt>
                <c:pt idx="26">
                  <c:v>0.73338233745685777</c:v>
                </c:pt>
                <c:pt idx="27">
                  <c:v>0.7309959497961932</c:v>
                </c:pt>
                <c:pt idx="28">
                  <c:v>0.7285967384608979</c:v>
                </c:pt>
                <c:pt idx="29">
                  <c:v>0.72618911700726607</c:v>
                </c:pt>
                <c:pt idx="30">
                  <c:v>0.72377660041051273</c:v>
                </c:pt>
                <c:pt idx="31">
                  <c:v>0.72136271021042386</c:v>
                </c:pt>
                <c:pt idx="32">
                  <c:v>0.71895090858709143</c:v>
                </c:pt>
                <c:pt idx="33">
                  <c:v>0.71654454390775535</c:v>
                </c:pt>
                <c:pt idx="34">
                  <c:v>0.7141468424479529</c:v>
                </c:pt>
                <c:pt idx="35">
                  <c:v>0.71176130753863076</c:v>
                </c:pt>
                <c:pt idx="36">
                  <c:v>0.70939075189918954</c:v>
                </c:pt>
                <c:pt idx="37">
                  <c:v>0.70703815297839723</c:v>
                </c:pt>
                <c:pt idx="38">
                  <c:v>0.70470667395579678</c:v>
                </c:pt>
              </c:numCache>
            </c:numRef>
          </c:val>
          <c:smooth val="0"/>
          <c:extLst>
            <c:ext xmlns:c16="http://schemas.microsoft.com/office/drawing/2014/chart" uri="{C3380CC4-5D6E-409C-BE32-E72D297353CC}">
              <c16:uniqueId val="{00000001-5AF5-4D23-9096-49832A5BD71E}"/>
            </c:ext>
          </c:extLst>
        </c:ser>
        <c:ser>
          <c:idx val="1"/>
          <c:order val="1"/>
          <c:tx>
            <c:v>ASP-S1-105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FF_Comparativo_Paneles!$C$5:$C$43</c:f>
              <c:numCache>
                <c:formatCode>0.00%</c:formatCode>
                <c:ptCount val="39"/>
                <c:pt idx="0">
                  <c:v>0.6985869668976793</c:v>
                </c:pt>
                <c:pt idx="1">
                  <c:v>0.72536752936271853</c:v>
                </c:pt>
                <c:pt idx="2">
                  <c:v>0.73759602973635796</c:v>
                </c:pt>
                <c:pt idx="3">
                  <c:v>0.74374748635151544</c:v>
                </c:pt>
                <c:pt idx="4">
                  <c:v>0.74677347046796683</c:v>
                </c:pt>
                <c:pt idx="5">
                  <c:v>0.7479583667738966</c:v>
                </c:pt>
                <c:pt idx="6">
                  <c:v>0.74797264380031525</c:v>
                </c:pt>
                <c:pt idx="7">
                  <c:v>0.74717388514876226</c:v>
                </c:pt>
                <c:pt idx="8">
                  <c:v>0.74581885072677634</c:v>
                </c:pt>
                <c:pt idx="9">
                  <c:v>0.74403043202809527</c:v>
                </c:pt>
                <c:pt idx="10">
                  <c:v>0.74191677913170695</c:v>
                </c:pt>
                <c:pt idx="11">
                  <c:v>0.73955231236720254</c:v>
                </c:pt>
                <c:pt idx="12">
                  <c:v>0.73699052390773268</c:v>
                </c:pt>
                <c:pt idx="13">
                  <c:v>0.73426024008711965</c:v>
                </c:pt>
                <c:pt idx="14">
                  <c:v>0.73139531357696386</c:v>
                </c:pt>
                <c:pt idx="15">
                  <c:v>0.7284186399596897</c:v>
                </c:pt>
                <c:pt idx="16">
                  <c:v>0.72534740337758907</c:v>
                </c:pt>
                <c:pt idx="17">
                  <c:v>0.72219569886930535</c:v>
                </c:pt>
                <c:pt idx="18">
                  <c:v>0.71898102564564315</c:v>
                </c:pt>
                <c:pt idx="19">
                  <c:v>0.71570763020664796</c:v>
                </c:pt>
                <c:pt idx="20">
                  <c:v>0.71238670137945304</c:v>
                </c:pt>
                <c:pt idx="21">
                  <c:v>0.70902545573826903</c:v>
                </c:pt>
                <c:pt idx="22">
                  <c:v>0.70563154430760844</c:v>
                </c:pt>
                <c:pt idx="23">
                  <c:v>0.7022100735694945</c:v>
                </c:pt>
                <c:pt idx="24">
                  <c:v>0.69876873227262426</c:v>
                </c:pt>
                <c:pt idx="25">
                  <c:v>0.69531097152290144</c:v>
                </c:pt>
                <c:pt idx="26">
                  <c:v>0.69184271472569436</c:v>
                </c:pt>
                <c:pt idx="27">
                  <c:v>0.68836837610909285</c:v>
                </c:pt>
                <c:pt idx="28">
                  <c:v>0.68489294804884671</c:v>
                </c:pt>
                <c:pt idx="29">
                  <c:v>0.68142035068711093</c:v>
                </c:pt>
                <c:pt idx="30">
                  <c:v>0.67795513486492409</c:v>
                </c:pt>
                <c:pt idx="31">
                  <c:v>0.67450122808671575</c:v>
                </c:pt>
                <c:pt idx="32">
                  <c:v>0.67106258566637766</c:v>
                </c:pt>
                <c:pt idx="33">
                  <c:v>0.66764286715610788</c:v>
                </c:pt>
                <c:pt idx="34">
                  <c:v>0.66424625266352377</c:v>
                </c:pt>
                <c:pt idx="35">
                  <c:v>0.66087595015809009</c:v>
                </c:pt>
                <c:pt idx="36">
                  <c:v>0.65753509734065596</c:v>
                </c:pt>
                <c:pt idx="37">
                  <c:v>0.654226893508011</c:v>
                </c:pt>
                <c:pt idx="38">
                  <c:v>0.6509540387041296</c:v>
                </c:pt>
              </c:numCache>
            </c:numRef>
          </c:val>
          <c:smooth val="0"/>
          <c:extLst>
            <c:ext xmlns:c16="http://schemas.microsoft.com/office/drawing/2014/chart" uri="{C3380CC4-5D6E-409C-BE32-E72D297353CC}">
              <c16:uniqueId val="{00000002-5AF5-4D23-9096-49832A5BD71E}"/>
            </c:ext>
          </c:extLst>
        </c:ser>
        <c:ser>
          <c:idx val="2"/>
          <c:order val="2"/>
          <c:tx>
            <c:v>ASP-ST1-T10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FF_Comparativo_Paneles!$D$5:$D$43</c:f>
              <c:numCache>
                <c:formatCode>0.00%</c:formatCode>
                <c:ptCount val="39"/>
                <c:pt idx="0">
                  <c:v>0.70694307846263804</c:v>
                </c:pt>
                <c:pt idx="1">
                  <c:v>0.73154193519914834</c:v>
                </c:pt>
                <c:pt idx="2">
                  <c:v>0.74264535513705221</c:v>
                </c:pt>
                <c:pt idx="3">
                  <c:v>0.74813113048152247</c:v>
                </c:pt>
                <c:pt idx="4">
                  <c:v>0.75072108551809247</c:v>
                </c:pt>
                <c:pt idx="5">
                  <c:v>0.75160834133723053</c:v>
                </c:pt>
                <c:pt idx="6">
                  <c:v>0.75141295067703007</c:v>
                </c:pt>
                <c:pt idx="7">
                  <c:v>0.75047106022196275</c:v>
                </c:pt>
                <c:pt idx="8">
                  <c:v>0.74900210792385824</c:v>
                </c:pt>
                <c:pt idx="9">
                  <c:v>0.74713911705399427</c:v>
                </c:pt>
                <c:pt idx="10">
                  <c:v>0.74497564287419549</c:v>
                </c:pt>
                <c:pt idx="11">
                  <c:v>0.74257723395340292</c:v>
                </c:pt>
                <c:pt idx="12">
                  <c:v>0.73999144016712048</c:v>
                </c:pt>
                <c:pt idx="13">
                  <c:v>0.73725368892405929</c:v>
                </c:pt>
                <c:pt idx="14">
                  <c:v>0.73439112287295072</c:v>
                </c:pt>
                <c:pt idx="15">
                  <c:v>0.73142456148008494</c:v>
                </c:pt>
                <c:pt idx="16">
                  <c:v>0.72837096777933819</c:v>
                </c:pt>
                <c:pt idx="17">
                  <c:v>0.72524385951678894</c:v>
                </c:pt>
                <c:pt idx="18">
                  <c:v>0.72205469041066983</c:v>
                </c:pt>
                <c:pt idx="19">
                  <c:v>0.71881293536987834</c:v>
                </c:pt>
                <c:pt idx="20">
                  <c:v>0.71552693965041958</c:v>
                </c:pt>
                <c:pt idx="21">
                  <c:v>0.71220367499780046</c:v>
                </c:pt>
                <c:pt idx="22">
                  <c:v>0.7088501289307767</c:v>
                </c:pt>
                <c:pt idx="23">
                  <c:v>0.70547150900059286</c:v>
                </c:pt>
                <c:pt idx="24">
                  <c:v>0.70207495120338781</c:v>
                </c:pt>
                <c:pt idx="25">
                  <c:v>0.69866275130432609</c:v>
                </c:pt>
                <c:pt idx="26">
                  <c:v>0.69524069014120471</c:v>
                </c:pt>
                <c:pt idx="27">
                  <c:v>0.69181315290936829</c:v>
                </c:pt>
                <c:pt idx="28">
                  <c:v>0.6883842102848311</c:v>
                </c:pt>
                <c:pt idx="29">
                  <c:v>0.68495853344554092</c:v>
                </c:pt>
                <c:pt idx="30">
                  <c:v>0.68153961894498549</c:v>
                </c:pt>
                <c:pt idx="31">
                  <c:v>0.67813099163309143</c:v>
                </c:pt>
                <c:pt idx="32">
                  <c:v>0.67473675753034679</c:v>
                </c:pt>
                <c:pt idx="33">
                  <c:v>0.67136030885488929</c:v>
                </c:pt>
                <c:pt idx="34">
                  <c:v>0.66800493696214602</c:v>
                </c:pt>
                <c:pt idx="35">
                  <c:v>0.66467382897683402</c:v>
                </c:pt>
                <c:pt idx="36">
                  <c:v>0.66137000440658311</c:v>
                </c:pt>
                <c:pt idx="37">
                  <c:v>0.65809667285213191</c:v>
                </c:pt>
                <c:pt idx="38">
                  <c:v>0.65485595103044514</c:v>
                </c:pt>
              </c:numCache>
            </c:numRef>
          </c:val>
          <c:smooth val="0"/>
          <c:extLst>
            <c:ext xmlns:c16="http://schemas.microsoft.com/office/drawing/2014/chart" uri="{C3380CC4-5D6E-409C-BE32-E72D297353CC}">
              <c16:uniqueId val="{00000003-5AF5-4D23-9096-49832A5BD71E}"/>
            </c:ext>
          </c:extLst>
        </c:ser>
        <c:ser>
          <c:idx val="3"/>
          <c:order val="3"/>
          <c:tx>
            <c:v>ASP-ST1-T40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FF_Comparativo_Paneles!$E$5:$E$43</c:f>
              <c:numCache>
                <c:formatCode>General</c:formatCode>
                <c:ptCount val="39"/>
                <c:pt idx="0">
                  <c:v>200</c:v>
                </c:pt>
                <c:pt idx="1">
                  <c:v>200</c:v>
                </c:pt>
                <c:pt idx="2">
                  <c:v>200</c:v>
                </c:pt>
                <c:pt idx="3">
                  <c:v>200</c:v>
                </c:pt>
                <c:pt idx="4" formatCode="0.00%">
                  <c:v>0.74451484079487051</c:v>
                </c:pt>
                <c:pt idx="5" formatCode="0.00%">
                  <c:v>0.74589299730335767</c:v>
                </c:pt>
                <c:pt idx="6" formatCode="0.00%">
                  <c:v>0.74603782407581809</c:v>
                </c:pt>
                <c:pt idx="7" formatCode="0.00%">
                  <c:v>0.74534005469582065</c:v>
                </c:pt>
                <c:pt idx="8" formatCode="0.00%">
                  <c:v>0.74405744105102023</c:v>
                </c:pt>
                <c:pt idx="9" formatCode="0.00%">
                  <c:v>0.74232455024664534</c:v>
                </c:pt>
                <c:pt idx="10" formatCode="0.00%">
                  <c:v>0.74025563689689344</c:v>
                </c:pt>
                <c:pt idx="11" formatCode="0.00%">
                  <c:v>0.7379234782640911</c:v>
                </c:pt>
                <c:pt idx="12" formatCode="0.00%">
                  <c:v>0.73537950844015876</c:v>
                </c:pt>
                <c:pt idx="13" formatCode="0.00%">
                  <c:v>0.73266531254006939</c:v>
                </c:pt>
                <c:pt idx="14" formatCode="0.00%">
                  <c:v>0.72981076715640536</c:v>
                </c:pt>
                <c:pt idx="15" formatCode="0.00%">
                  <c:v>0.72683824858448076</c:v>
                </c:pt>
                <c:pt idx="16" formatCode="0.00%">
                  <c:v>0.72376710039846626</c:v>
                </c:pt>
                <c:pt idx="17" formatCode="0.00%">
                  <c:v>0.72061430666202131</c:v>
                </c:pt>
                <c:pt idx="18" formatCode="0.00%">
                  <c:v>0.71739203370744309</c:v>
                </c:pt>
                <c:pt idx="19" formatCode="0.00%">
                  <c:v>0.71410820142395692</c:v>
                </c:pt>
                <c:pt idx="20" formatCode="0.00%">
                  <c:v>0.71077649432808832</c:v>
                </c:pt>
                <c:pt idx="21" formatCode="0.00%">
                  <c:v>0.70740312562752006</c:v>
                </c:pt>
                <c:pt idx="22" formatCode="0.00%">
                  <c:v>0.70399504425128101</c:v>
                </c:pt>
                <c:pt idx="23" formatCode="0.00%">
                  <c:v>0.7005580014693632</c:v>
                </c:pt>
                <c:pt idx="24" formatCode="0.00%">
                  <c:v>0.69709958574230613</c:v>
                </c:pt>
                <c:pt idx="25" formatCode="0.00%">
                  <c:v>0.69362433184593175</c:v>
                </c:pt>
                <c:pt idx="26" formatCode="0.00%">
                  <c:v>0.69013770948501429</c:v>
                </c:pt>
                <c:pt idx="27" formatCode="0.00%">
                  <c:v>0.68664422729158026</c:v>
                </c:pt>
                <c:pt idx="28" formatCode="0.00%">
                  <c:v>0.68314989082578048</c:v>
                </c:pt>
                <c:pt idx="29" formatCode="0.00%">
                  <c:v>0.67965831439589464</c:v>
                </c:pt>
                <c:pt idx="30" formatCode="0.00%">
                  <c:v>0.67617415655794522</c:v>
                </c:pt>
                <c:pt idx="31" formatCode="0.00%">
                  <c:v>0.67270163242801717</c:v>
                </c:pt>
                <c:pt idx="32" formatCode="0.00%">
                  <c:v>0.66924476716614889</c:v>
                </c:pt>
                <c:pt idx="33" formatCode="0.00%">
                  <c:v>0.66580752471550875</c:v>
                </c:pt>
                <c:pt idx="34" formatCode="0.00%">
                  <c:v>0.6623944457573171</c:v>
                </c:pt>
                <c:pt idx="35" formatCode="0.00%">
                  <c:v>0.65900880367314729</c:v>
                </c:pt>
                <c:pt idx="36" formatCode="0.00%">
                  <c:v>0.65565355516490564</c:v>
                </c:pt>
                <c:pt idx="37" formatCode="0.00%">
                  <c:v>0.65233224265574385</c:v>
                </c:pt>
                <c:pt idx="38" formatCode="0.00%">
                  <c:v>0.64904774491274408</c:v>
                </c:pt>
              </c:numCache>
            </c:numRef>
          </c:val>
          <c:smooth val="0"/>
          <c:extLst>
            <c:ext xmlns:c16="http://schemas.microsoft.com/office/drawing/2014/chart" uri="{C3380CC4-5D6E-409C-BE32-E72D297353CC}">
              <c16:uniqueId val="{00000004-5AF5-4D23-9096-49832A5BD71E}"/>
            </c:ext>
          </c:extLst>
        </c:ser>
        <c:ser>
          <c:idx val="4"/>
          <c:order val="4"/>
          <c:tx>
            <c:v>NCL-BP-P-C02-327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FF_Comparativo_Paneles!$F$5:$F$43</c:f>
              <c:numCache>
                <c:formatCode>0.00%</c:formatCode>
                <c:ptCount val="39"/>
                <c:pt idx="0">
                  <c:v>0.75470304476098005</c:v>
                </c:pt>
                <c:pt idx="1">
                  <c:v>0.76774194457994327</c:v>
                </c:pt>
                <c:pt idx="2">
                  <c:v>0.77345175707340308</c:v>
                </c:pt>
                <c:pt idx="3">
                  <c:v>0.77607043146619459</c:v>
                </c:pt>
                <c:pt idx="4">
                  <c:v>0.77707516344636796</c:v>
                </c:pt>
                <c:pt idx="5">
                  <c:v>0.77711818831869017</c:v>
                </c:pt>
                <c:pt idx="6">
                  <c:v>0.7765431094560804</c:v>
                </c:pt>
                <c:pt idx="7">
                  <c:v>0.77554151452126374</c:v>
                </c:pt>
                <c:pt idx="8">
                  <c:v>0.77422940974866239</c:v>
                </c:pt>
                <c:pt idx="9">
                  <c:v>0.77268631841146462</c:v>
                </c:pt>
                <c:pt idx="10">
                  <c:v>0.77096533541304801</c:v>
                </c:pt>
                <c:pt idx="11">
                  <c:v>0.76910278152995948</c:v>
                </c:pt>
                <c:pt idx="12">
                  <c:v>0.76712612380974865</c:v>
                </c:pt>
                <c:pt idx="13">
                  <c:v>0.76505602340790479</c:v>
                </c:pt>
                <c:pt idx="14">
                  <c:v>0.7629078542413672</c:v>
                </c:pt>
                <c:pt idx="15">
                  <c:v>0.76069395291940811</c:v>
                </c:pt>
                <c:pt idx="16">
                  <c:v>0.75842414180928019</c:v>
                </c:pt>
                <c:pt idx="17">
                  <c:v>0.75610626940830217</c:v>
                </c:pt>
                <c:pt idx="18">
                  <c:v>0.75374724780330937</c:v>
                </c:pt>
                <c:pt idx="19">
                  <c:v>0.75135216877457933</c:v>
                </c:pt>
                <c:pt idx="20">
                  <c:v>0.7489264690091415</c:v>
                </c:pt>
                <c:pt idx="21">
                  <c:v>0.74647381225499465</c:v>
                </c:pt>
                <c:pt idx="22">
                  <c:v>0.74399815520074475</c:v>
                </c:pt>
                <c:pt idx="23">
                  <c:v>0.74150281365928483</c:v>
                </c:pt>
                <c:pt idx="24">
                  <c:v>0.73899085921750629</c:v>
                </c:pt>
                <c:pt idx="25">
                  <c:v>0.73646521919748098</c:v>
                </c:pt>
                <c:pt idx="26">
                  <c:v>0.73392865402841234</c:v>
                </c:pt>
                <c:pt idx="27">
                  <c:v>0.73138361863809076</c:v>
                </c:pt>
                <c:pt idx="28">
                  <c:v>0.72883270959579105</c:v>
                </c:pt>
                <c:pt idx="29">
                  <c:v>0.72627813280054665</c:v>
                </c:pt>
                <c:pt idx="30">
                  <c:v>0.72372259513562587</c:v>
                </c:pt>
                <c:pt idx="31">
                  <c:v>0.72116796172846676</c:v>
                </c:pt>
                <c:pt idx="32">
                  <c:v>0.71861669600422906</c:v>
                </c:pt>
                <c:pt idx="33">
                  <c:v>0.71607076743786124</c:v>
                </c:pt>
                <c:pt idx="34">
                  <c:v>0.7135323307043745</c:v>
                </c:pt>
                <c:pt idx="35">
                  <c:v>0.71100333903685109</c:v>
                </c:pt>
                <c:pt idx="36">
                  <c:v>0.70848582627822609</c:v>
                </c:pt>
                <c:pt idx="37">
                  <c:v>0.70598147454811311</c:v>
                </c:pt>
                <c:pt idx="38">
                  <c:v>0.70349210228861414</c:v>
                </c:pt>
              </c:numCache>
            </c:numRef>
          </c:val>
          <c:smooth val="0"/>
          <c:extLst>
            <c:ext xmlns:c16="http://schemas.microsoft.com/office/drawing/2014/chart" uri="{C3380CC4-5D6E-409C-BE32-E72D297353CC}">
              <c16:uniqueId val="{00000005-5AF5-4D23-9096-49832A5BD71E}"/>
            </c:ext>
          </c:extLst>
        </c:ser>
        <c:ser>
          <c:idx val="5"/>
          <c:order val="5"/>
          <c:tx>
            <c:v>HIITIO HC-3CT0%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FF_Comparativo_Paneles!$G$5:$G$43</c:f>
              <c:numCache>
                <c:formatCode>0.00%</c:formatCode>
                <c:ptCount val="39"/>
                <c:pt idx="0">
                  <c:v>0.74834940879800427</c:v>
                </c:pt>
                <c:pt idx="1">
                  <c:v>0.76450129480241058</c:v>
                </c:pt>
                <c:pt idx="2">
                  <c:v>0.77254328982795994</c:v>
                </c:pt>
                <c:pt idx="3">
                  <c:v>0.77690066684922454</c:v>
                </c:pt>
                <c:pt idx="4">
                  <c:v>0.77939513269016425</c:v>
                </c:pt>
                <c:pt idx="5">
                  <c:v>0.78081743098398548</c:v>
                </c:pt>
                <c:pt idx="6">
                  <c:v>0.78150892889438861</c:v>
                </c:pt>
                <c:pt idx="7">
                  <c:v>0.78170793667835392</c:v>
                </c:pt>
                <c:pt idx="8">
                  <c:v>0.78155356715625135</c:v>
                </c:pt>
                <c:pt idx="9">
                  <c:v>0.78112746247075848</c:v>
                </c:pt>
                <c:pt idx="10">
                  <c:v>0.78049061637877204</c:v>
                </c:pt>
                <c:pt idx="11">
                  <c:v>0.77968629369309339</c:v>
                </c:pt>
                <c:pt idx="12">
                  <c:v>0.7787455261952827</c:v>
                </c:pt>
                <c:pt idx="13">
                  <c:v>0.77769013519618224</c:v>
                </c:pt>
                <c:pt idx="14">
                  <c:v>0.77653995246318563</c:v>
                </c:pt>
                <c:pt idx="15">
                  <c:v>0.77530661740772211</c:v>
                </c:pt>
                <c:pt idx="16">
                  <c:v>0.77400244208647406</c:v>
                </c:pt>
                <c:pt idx="17">
                  <c:v>0.77263519050717999</c:v>
                </c:pt>
                <c:pt idx="18">
                  <c:v>0.7712136408203859</c:v>
                </c:pt>
                <c:pt idx="19">
                  <c:v>0.76974316278996358</c:v>
                </c:pt>
                <c:pt idx="20">
                  <c:v>0.76822912370335072</c:v>
                </c:pt>
                <c:pt idx="21">
                  <c:v>0.76667679775170727</c:v>
                </c:pt>
                <c:pt idx="22">
                  <c:v>0.7650898101243474</c:v>
                </c:pt>
                <c:pt idx="23">
                  <c:v>0.76347212740850001</c:v>
                </c:pt>
                <c:pt idx="24">
                  <c:v>0.76182742979014484</c:v>
                </c:pt>
                <c:pt idx="25">
                  <c:v>0.76015884094238584</c:v>
                </c:pt>
                <c:pt idx="26">
                  <c:v>0.75846978361486683</c:v>
                </c:pt>
                <c:pt idx="27">
                  <c:v>0.75676292959766489</c:v>
                </c:pt>
                <c:pt idx="28">
                  <c:v>0.75504206523723838</c:v>
                </c:pt>
                <c:pt idx="29">
                  <c:v>0.75330922638412579</c:v>
                </c:pt>
                <c:pt idx="30">
                  <c:v>0.75156757536719077</c:v>
                </c:pt>
                <c:pt idx="31">
                  <c:v>0.74982010255851095</c:v>
                </c:pt>
                <c:pt idx="32">
                  <c:v>0.74806947068226859</c:v>
                </c:pt>
                <c:pt idx="33">
                  <c:v>0.74631865116994234</c:v>
                </c:pt>
                <c:pt idx="34">
                  <c:v>0.74456945453296275</c:v>
                </c:pt>
                <c:pt idx="35">
                  <c:v>0.74282690652356642</c:v>
                </c:pt>
                <c:pt idx="36">
                  <c:v>0.74109188793062053</c:v>
                </c:pt>
                <c:pt idx="37">
                  <c:v>0.73936681148304817</c:v>
                </c:pt>
                <c:pt idx="38">
                  <c:v>0.73765535707140006</c:v>
                </c:pt>
              </c:numCache>
            </c:numRef>
          </c:val>
          <c:smooth val="0"/>
          <c:extLst>
            <c:ext xmlns:c16="http://schemas.microsoft.com/office/drawing/2014/chart" uri="{C3380CC4-5D6E-409C-BE32-E72D297353CC}">
              <c16:uniqueId val="{00000006-5AF5-4D23-9096-49832A5BD71E}"/>
            </c:ext>
          </c:extLst>
        </c:ser>
        <c:ser>
          <c:idx val="6"/>
          <c:order val="6"/>
          <c:tx>
            <c:v>HIITIO HC-3CT20%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FF_Comparativo_Paneles!$H$5:$H$43</c:f>
              <c:numCache>
                <c:formatCode>0.00%</c:formatCode>
                <c:ptCount val="39"/>
                <c:pt idx="0">
                  <c:v>0.74437222851871909</c:v>
                </c:pt>
                <c:pt idx="1">
                  <c:v>0.76194806675854587</c:v>
                </c:pt>
                <c:pt idx="2">
                  <c:v>0.77027342687681088</c:v>
                </c:pt>
                <c:pt idx="3">
                  <c:v>0.77501399101668811</c:v>
                </c:pt>
                <c:pt idx="4">
                  <c:v>0.77769822124232169</c:v>
                </c:pt>
                <c:pt idx="5">
                  <c:v>0.77922811390802504</c:v>
                </c:pt>
                <c:pt idx="6">
                  <c:v>0.78003292524276069</c:v>
                </c:pt>
                <c:pt idx="7">
                  <c:v>0.78028297216164044</c:v>
                </c:pt>
                <c:pt idx="8">
                  <c:v>0.7801890324022116</c:v>
                </c:pt>
                <c:pt idx="9">
                  <c:v>0.77978792577703426</c:v>
                </c:pt>
                <c:pt idx="10">
                  <c:v>0.77917264511244544</c:v>
                </c:pt>
                <c:pt idx="11">
                  <c:v>0.77917264511244544</c:v>
                </c:pt>
                <c:pt idx="12">
                  <c:v>0.77917264511244544</c:v>
                </c:pt>
                <c:pt idx="13">
                  <c:v>0.77917264511244544</c:v>
                </c:pt>
                <c:pt idx="14">
                  <c:v>0.77917264511244544</c:v>
                </c:pt>
                <c:pt idx="15">
                  <c:v>0.77917264511244544</c:v>
                </c:pt>
                <c:pt idx="16">
                  <c:v>0.77917264511244544</c:v>
                </c:pt>
                <c:pt idx="17">
                  <c:v>0.77917264511244544</c:v>
                </c:pt>
                <c:pt idx="18">
                  <c:v>0.77917264511244544</c:v>
                </c:pt>
                <c:pt idx="19">
                  <c:v>0.77839228374802394</c:v>
                </c:pt>
                <c:pt idx="20">
                  <c:v>0.76685988192236365</c:v>
                </c:pt>
                <c:pt idx="21">
                  <c:v>0.76528540898814712</c:v>
                </c:pt>
                <c:pt idx="22">
                  <c:v>0.76367407965404865</c:v>
                </c:pt>
                <c:pt idx="23">
                  <c:v>0.76203218993386179</c:v>
                </c:pt>
                <c:pt idx="24">
                  <c:v>0.76036153527871775</c:v>
                </c:pt>
                <c:pt idx="25">
                  <c:v>0.75866516115896343</c:v>
                </c:pt>
                <c:pt idx="26">
                  <c:v>0.75694685798775974</c:v>
                </c:pt>
                <c:pt idx="27">
                  <c:v>0.75521163683826331</c:v>
                </c:pt>
                <c:pt idx="28">
                  <c:v>0.75346030374355999</c:v>
                </c:pt>
                <c:pt idx="29">
                  <c:v>200</c:v>
                </c:pt>
                <c:pt idx="30">
                  <c:v>0.74992437351358243</c:v>
                </c:pt>
                <c:pt idx="31">
                  <c:v>0.74814537198415032</c:v>
                </c:pt>
                <c:pt idx="32">
                  <c:v>0.74636414713389299</c:v>
                </c:pt>
                <c:pt idx="33">
                  <c:v>0.74458232708650129</c:v>
                </c:pt>
                <c:pt idx="34">
                  <c:v>0.74280354767502244</c:v>
                </c:pt>
                <c:pt idx="35">
                  <c:v>0.7410293357433817</c:v>
                </c:pt>
                <c:pt idx="36">
                  <c:v>0.73926561995205353</c:v>
                </c:pt>
                <c:pt idx="37">
                  <c:v>0.73751130303808354</c:v>
                </c:pt>
                <c:pt idx="38">
                  <c:v>0.73577242072715376</c:v>
                </c:pt>
              </c:numCache>
            </c:numRef>
          </c:val>
          <c:smooth val="0"/>
          <c:extLst>
            <c:ext xmlns:c16="http://schemas.microsoft.com/office/drawing/2014/chart" uri="{C3380CC4-5D6E-409C-BE32-E72D297353CC}">
              <c16:uniqueId val="{00000007-5AF5-4D23-9096-49832A5BD71E}"/>
            </c:ext>
          </c:extLst>
        </c:ser>
        <c:ser>
          <c:idx val="7"/>
          <c:order val="7"/>
          <c:tx>
            <c:v>HIITIO HC-3CT40%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FF_Comparativo_Paneles!$I$5:$I$43</c:f>
              <c:numCache>
                <c:formatCode>0.00%</c:formatCode>
                <c:ptCount val="39"/>
                <c:pt idx="0">
                  <c:v>0.76090741083210744</c:v>
                </c:pt>
                <c:pt idx="1">
                  <c:v>0.77379848796862316</c:v>
                </c:pt>
                <c:pt idx="2">
                  <c:v>0.77998175050009888</c:v>
                </c:pt>
                <c:pt idx="3">
                  <c:v>0.78342417196000991</c:v>
                </c:pt>
                <c:pt idx="4">
                  <c:v>0.78530200842241682</c:v>
                </c:pt>
                <c:pt idx="5">
                  <c:v>0.78624901356928012</c:v>
                </c:pt>
                <c:pt idx="6">
                  <c:v>0.78663989639963738</c:v>
                </c:pt>
                <c:pt idx="7">
                  <c:v>0.78659611590663181</c:v>
                </c:pt>
                <c:pt idx="8">
                  <c:v>0.78629259346452551</c:v>
                </c:pt>
                <c:pt idx="9">
                  <c:v>0.7857439971255048</c:v>
                </c:pt>
                <c:pt idx="10">
                  <c:v>0.78502957034702947</c:v>
                </c:pt>
                <c:pt idx="11">
                  <c:v>0.78416734982056135</c:v>
                </c:pt>
                <c:pt idx="12">
                  <c:v>0.78320849568230144</c:v>
                </c:pt>
                <c:pt idx="13">
                  <c:v>0.78214528885733126</c:v>
                </c:pt>
                <c:pt idx="14">
                  <c:v>0.78100283493173117</c:v>
                </c:pt>
                <c:pt idx="15">
                  <c:v>0.77979108442921619</c:v>
                </c:pt>
                <c:pt idx="16">
                  <c:v>0.77852037835571608</c:v>
                </c:pt>
                <c:pt idx="17">
                  <c:v>0.77719863749118301</c:v>
                </c:pt>
                <c:pt idx="18">
                  <c:v>0.77583138411994368</c:v>
                </c:pt>
                <c:pt idx="19">
                  <c:v>0.77442184965442429</c:v>
                </c:pt>
                <c:pt idx="20">
                  <c:v>0.77297772991543667</c:v>
                </c:pt>
                <c:pt idx="21">
                  <c:v>0.77150273166776318</c:v>
                </c:pt>
                <c:pt idx="22">
                  <c:v>0.76999782949789597</c:v>
                </c:pt>
                <c:pt idx="23">
                  <c:v>0.76846509862034817</c:v>
                </c:pt>
                <c:pt idx="24">
                  <c:v>0.76691355244563886</c:v>
                </c:pt>
                <c:pt idx="25">
                  <c:v>0.76534159733119123</c:v>
                </c:pt>
                <c:pt idx="26">
                  <c:v>0.76374877111942907</c:v>
                </c:pt>
                <c:pt idx="27">
                  <c:v>0.76214642434986812</c:v>
                </c:pt>
                <c:pt idx="28">
                  <c:v>0.76053036316247036</c:v>
                </c:pt>
                <c:pt idx="29">
                  <c:v>0.75890349742725671</c:v>
                </c:pt>
                <c:pt idx="30">
                  <c:v>0.75726843292714485</c:v>
                </c:pt>
                <c:pt idx="31">
                  <c:v>0.75562879828006935</c:v>
                </c:pt>
                <c:pt idx="32">
                  <c:v>0.75398417205001667</c:v>
                </c:pt>
                <c:pt idx="33">
                  <c:v>0.75234272600616126</c:v>
                </c:pt>
                <c:pt idx="34">
                  <c:v>0.75069960803265823</c:v>
                </c:pt>
                <c:pt idx="35">
                  <c:v>0.74906143911244938</c:v>
                </c:pt>
                <c:pt idx="36">
                  <c:v>0.7474282179560251</c:v>
                </c:pt>
                <c:pt idx="37">
                  <c:v>0.7458012638099768</c:v>
                </c:pt>
                <c:pt idx="38">
                  <c:v>0.74418623734431577</c:v>
                </c:pt>
              </c:numCache>
            </c:numRef>
          </c:val>
          <c:smooth val="0"/>
          <c:extLst>
            <c:ext xmlns:c16="http://schemas.microsoft.com/office/drawing/2014/chart" uri="{C3380CC4-5D6E-409C-BE32-E72D297353CC}">
              <c16:uniqueId val="{00000008-5AF5-4D23-9096-49832A5BD71E}"/>
            </c:ext>
          </c:extLst>
        </c:ser>
        <c:ser>
          <c:idx val="8"/>
          <c:order val="8"/>
          <c:tx>
            <c:v>HIITIO HC-3CT60%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FF_Comparativo_Paneles!$J$5:$J$43</c:f>
              <c:numCache>
                <c:formatCode>0.00%</c:formatCode>
                <c:ptCount val="39"/>
                <c:pt idx="0">
                  <c:v>0.72951127375129987</c:v>
                </c:pt>
                <c:pt idx="1">
                  <c:v>0.75094678037258578</c:v>
                </c:pt>
                <c:pt idx="2">
                  <c:v>0.76115158948913963</c:v>
                </c:pt>
                <c:pt idx="3">
                  <c:v>0.76720973796198122</c:v>
                </c:pt>
                <c:pt idx="4">
                  <c:v>0.77057884680778932</c:v>
                </c:pt>
                <c:pt idx="5">
                  <c:v>0.77274628160823455</c:v>
                </c:pt>
                <c:pt idx="6">
                  <c:v>0.77389155249164543</c:v>
                </c:pt>
                <c:pt idx="7">
                  <c:v>0.77445991956066795</c:v>
                </c:pt>
                <c:pt idx="8">
                  <c:v>0.77454402969645186</c:v>
                </c:pt>
                <c:pt idx="9">
                  <c:v>0.77428965944772599</c:v>
                </c:pt>
                <c:pt idx="10">
                  <c:v>0.77376639408202708</c:v>
                </c:pt>
                <c:pt idx="11">
                  <c:v>0.77302619849236576</c:v>
                </c:pt>
                <c:pt idx="12">
                  <c:v>0.77213312291506075</c:v>
                </c:pt>
                <c:pt idx="13">
                  <c:v>0.77110157699602211</c:v>
                </c:pt>
                <c:pt idx="14">
                  <c:v>0.76993854446709964</c:v>
                </c:pt>
                <c:pt idx="15">
                  <c:v>0.76867268608894168</c:v>
                </c:pt>
                <c:pt idx="16">
                  <c:v>0.76731510674255088</c:v>
                </c:pt>
                <c:pt idx="17">
                  <c:v>0.76587845069475402</c:v>
                </c:pt>
                <c:pt idx="18">
                  <c:v>0.7643828896692163</c:v>
                </c:pt>
                <c:pt idx="19">
                  <c:v>0.76282085890081386</c:v>
                </c:pt>
                <c:pt idx="20">
                  <c:v>0.76120479055076762</c:v>
                </c:pt>
                <c:pt idx="21">
                  <c:v>0.75953954388459388</c:v>
                </c:pt>
                <c:pt idx="22">
                  <c:v>0.75783250994159812</c:v>
                </c:pt>
                <c:pt idx="23">
                  <c:v>0.75608616411609642</c:v>
                </c:pt>
                <c:pt idx="24">
                  <c:v>0.75430562588822336</c:v>
                </c:pt>
                <c:pt idx="25">
                  <c:v>0.752493580640475</c:v>
                </c:pt>
                <c:pt idx="26">
                  <c:v>0.75065939965771789</c:v>
                </c:pt>
                <c:pt idx="27">
                  <c:v>0.74879836382076514</c:v>
                </c:pt>
                <c:pt idx="28">
                  <c:v>0.74692542400382778</c:v>
                </c:pt>
                <c:pt idx="29">
                  <c:v>0.7450345288738236</c:v>
                </c:pt>
                <c:pt idx="30">
                  <c:v>0.74313611456804529</c:v>
                </c:pt>
                <c:pt idx="31">
                  <c:v>0.74122924943296875</c:v>
                </c:pt>
                <c:pt idx="32">
                  <c:v>0.73931893859636355</c:v>
                </c:pt>
                <c:pt idx="33">
                  <c:v>0.73740847451703695</c:v>
                </c:pt>
                <c:pt idx="34">
                  <c:v>0.73550336621374135</c:v>
                </c:pt>
                <c:pt idx="35">
                  <c:v>0.73360609165669832</c:v>
                </c:pt>
                <c:pt idx="36">
                  <c:v>0.73171737980731211</c:v>
                </c:pt>
                <c:pt idx="37">
                  <c:v>0.72984550142197957</c:v>
                </c:pt>
                <c:pt idx="38">
                  <c:v>0.72799282152353106</c:v>
                </c:pt>
              </c:numCache>
            </c:numRef>
          </c:val>
          <c:smooth val="0"/>
          <c:extLst>
            <c:ext xmlns:c16="http://schemas.microsoft.com/office/drawing/2014/chart" uri="{C3380CC4-5D6E-409C-BE32-E72D297353CC}">
              <c16:uniqueId val="{00000009-5AF5-4D23-9096-49832A5BD71E}"/>
            </c:ext>
          </c:extLst>
        </c:ser>
        <c:ser>
          <c:idx val="9"/>
          <c:order val="9"/>
          <c:tx>
            <c:v>HIITIO HC-JL-B5-60% (CdTe)</c:v>
          </c:tx>
          <c:cat>
            <c:strRef>
              <c:f>FF_Comparativo_Paneles!$A$5:$A$43</c:f>
              <c:strCache>
                <c:ptCount val="39"/>
                <c:pt idx="0">
                  <c:v>Si</c:v>
                </c:pt>
                <c:pt idx="1">
                  <c:v>75</c:v>
                </c:pt>
                <c:pt idx="2">
                  <c:v>100</c:v>
                </c:pt>
                <c:pt idx="3">
                  <c:v>Si</c:v>
                </c:pt>
                <c:pt idx="4">
                  <c:v>Si</c:v>
                </c:pt>
                <c:pt idx="5">
                  <c:v>Si</c:v>
                </c:pt>
                <c:pt idx="6">
                  <c:v>Si</c:v>
                </c:pt>
                <c:pt idx="7">
                  <c:v>Si</c:v>
                </c:pt>
                <c:pt idx="8">
                  <c:v>Si</c:v>
                </c:pt>
                <c:pt idx="9">
                  <c:v>Si</c:v>
                </c:pt>
                <c:pt idx="10">
                  <c:v>Si</c:v>
                </c:pt>
                <c:pt idx="11">
                  <c:v>Si</c:v>
                </c:pt>
                <c:pt idx="12">
                  <c:v>Si</c:v>
                </c:pt>
                <c:pt idx="13">
                  <c:v>Si</c:v>
                </c:pt>
                <c:pt idx="14">
                  <c:v>Si</c:v>
                </c:pt>
                <c:pt idx="15">
                  <c:v>Si</c:v>
                </c:pt>
                <c:pt idx="16">
                  <c:v>Si</c:v>
                </c:pt>
                <c:pt idx="17">
                  <c:v>Si</c:v>
                </c:pt>
                <c:pt idx="18">
                  <c:v>Si</c:v>
                </c:pt>
                <c:pt idx="19">
                  <c:v>Si</c:v>
                </c:pt>
                <c:pt idx="20">
                  <c:v>Si</c:v>
                </c:pt>
                <c:pt idx="21">
                  <c:v>Si</c:v>
                </c:pt>
                <c:pt idx="22">
                  <c:v>Si</c:v>
                </c:pt>
                <c:pt idx="23">
                  <c:v>Si</c:v>
                </c:pt>
                <c:pt idx="24">
                  <c:v>Si</c:v>
                </c:pt>
                <c:pt idx="25">
                  <c:v>Si</c:v>
                </c:pt>
                <c:pt idx="26">
                  <c:v>Si</c:v>
                </c:pt>
                <c:pt idx="27">
                  <c:v>Si</c:v>
                </c:pt>
                <c:pt idx="28">
                  <c:v>Si</c:v>
                </c:pt>
                <c:pt idx="29">
                  <c:v>Si</c:v>
                </c:pt>
                <c:pt idx="30">
                  <c:v>Si</c:v>
                </c:pt>
                <c:pt idx="31">
                  <c:v>Si</c:v>
                </c:pt>
                <c:pt idx="32">
                  <c:v>850</c:v>
                </c:pt>
                <c:pt idx="33">
                  <c:v>875</c:v>
                </c:pt>
                <c:pt idx="34">
                  <c:v>900</c:v>
                </c:pt>
                <c:pt idx="35">
                  <c:v>925</c:v>
                </c:pt>
                <c:pt idx="36">
                  <c:v>950</c:v>
                </c:pt>
                <c:pt idx="37">
                  <c:v>975</c:v>
                </c:pt>
                <c:pt idx="38">
                  <c:v>1000</c:v>
                </c:pt>
              </c:strCache>
            </c:strRef>
          </c:cat>
          <c:val>
            <c:numRef>
              <c:f>FF_Comparativo_Paneles!$K$5:$K$43</c:f>
              <c:numCache>
                <c:formatCode>0.00%</c:formatCode>
                <c:ptCount val="39"/>
                <c:pt idx="0">
                  <c:v>0.7420735237379138</c:v>
                </c:pt>
                <c:pt idx="1">
                  <c:v>0.75669626521875433</c:v>
                </c:pt>
                <c:pt idx="2">
                  <c:v>0.76258578896925122</c:v>
                </c:pt>
                <c:pt idx="3">
                  <c:v>0.76486278033064281</c:v>
                </c:pt>
                <c:pt idx="4">
                  <c:v>0.76524238795438704</c:v>
                </c:pt>
                <c:pt idx="5">
                  <c:v>0.76453701470919722</c:v>
                </c:pt>
                <c:pt idx="6">
                  <c:v>0.7630843144951811</c:v>
                </c:pt>
                <c:pt idx="7">
                  <c:v>0.76115735866361744</c:v>
                </c:pt>
                <c:pt idx="8">
                  <c:v>0.758911043754671</c:v>
                </c:pt>
                <c:pt idx="9">
                  <c:v>0.75639134138856412</c:v>
                </c:pt>
                <c:pt idx="10">
                  <c:v>0.75366844320689153</c:v>
                </c:pt>
                <c:pt idx="11">
                  <c:v>0.75079011176154242</c:v>
                </c:pt>
                <c:pt idx="12">
                  <c:v>0.74779170628682801</c:v>
                </c:pt>
                <c:pt idx="13">
                  <c:v>0.74468120028196894</c:v>
                </c:pt>
                <c:pt idx="14">
                  <c:v>0.74150439558869674</c:v>
                </c:pt>
                <c:pt idx="15">
                  <c:v>0.73826823944859965</c:v>
                </c:pt>
                <c:pt idx="16">
                  <c:v>0.73496683021422538</c:v>
                </c:pt>
                <c:pt idx="17">
                  <c:v>0.73161619147215984</c:v>
                </c:pt>
                <c:pt idx="18">
                  <c:v>0.72823574621104081</c:v>
                </c:pt>
                <c:pt idx="19">
                  <c:v>0.72481901483820754</c:v>
                </c:pt>
                <c:pt idx="20">
                  <c:v>0.72137373511474345</c:v>
                </c:pt>
                <c:pt idx="21">
                  <c:v>0.71790891569864201</c:v>
                </c:pt>
                <c:pt idx="22">
                  <c:v>0.71443020503559485</c:v>
                </c:pt>
                <c:pt idx="23">
                  <c:v>0.71092885218737123</c:v>
                </c:pt>
                <c:pt idx="24">
                  <c:v>0.70742826853979879</c:v>
                </c:pt>
                <c:pt idx="25">
                  <c:v>0.70391808765072139</c:v>
                </c:pt>
                <c:pt idx="26">
                  <c:v>0.70040510856372895</c:v>
                </c:pt>
                <c:pt idx="27">
                  <c:v>0.69689304874861135</c:v>
                </c:pt>
                <c:pt idx="28">
                  <c:v>13</c:v>
                </c:pt>
                <c:pt idx="29">
                  <c:v>26</c:v>
                </c:pt>
                <c:pt idx="30">
                  <c:v>26</c:v>
                </c:pt>
                <c:pt idx="31">
                  <c:v>26</c:v>
                </c:pt>
                <c:pt idx="32">
                  <c:v>0.67940781693512253</c:v>
                </c:pt>
                <c:pt idx="33">
                  <c:v>0.6759445603964821</c:v>
                </c:pt>
                <c:pt idx="34">
                  <c:v>0.67249789012850258</c:v>
                </c:pt>
                <c:pt idx="35">
                  <c:v>0.66906931149927151</c:v>
                </c:pt>
                <c:pt idx="36">
                  <c:v>0.66565943195023947</c:v>
                </c:pt>
                <c:pt idx="37">
                  <c:v>0.66227417737923311</c:v>
                </c:pt>
                <c:pt idx="38">
                  <c:v>0.65891129167756024</c:v>
                </c:pt>
              </c:numCache>
            </c:numRef>
          </c:val>
          <c:smooth val="0"/>
          <c:extLst>
            <c:ext xmlns:c16="http://schemas.microsoft.com/office/drawing/2014/chart" uri="{C3380CC4-5D6E-409C-BE32-E72D297353CC}">
              <c16:uniqueId val="{0000000A-5AF5-4D23-9096-49832A5BD71E}"/>
            </c:ext>
          </c:extLst>
        </c:ser>
        <c:dLbls>
          <c:showLegendKey val="0"/>
          <c:showVal val="0"/>
          <c:showCatName val="0"/>
          <c:showSerName val="0"/>
          <c:showPercent val="0"/>
          <c:showBubbleSize val="0"/>
        </c:dLbls>
        <c:marker val="1"/>
        <c:smooth val="0"/>
        <c:axId val="2108539759"/>
        <c:axId val="2108545167"/>
      </c:lineChart>
      <c:catAx>
        <c:axId val="2108539759"/>
        <c:scaling>
          <c:orientation val="minMax"/>
        </c:scaling>
        <c:delete val="0"/>
        <c:axPos val="b"/>
        <c:title>
          <c:tx>
            <c:rich>
              <a:bodyPr/>
              <a:lstStyle/>
              <a:p>
                <a:pPr>
                  <a:defRPr/>
                </a:pPr>
                <a:r>
                  <a:rPr lang="es-CO"/>
                  <a:t>Irradiancia G (W/m2)</a:t>
                </a:r>
              </a:p>
            </c:rich>
          </c:tx>
          <c:overlay val="0"/>
        </c:title>
        <c:numFmt formatCode="General" sourceLinked="1"/>
        <c:majorTickMark val="out"/>
        <c:minorTickMark val="none"/>
        <c:tickLblPos val="nextTo"/>
        <c:crossAx val="2108545167"/>
        <c:crosses val="autoZero"/>
        <c:auto val="1"/>
        <c:lblAlgn val="ctr"/>
        <c:lblOffset val="100"/>
        <c:noMultiLvlLbl val="0"/>
      </c:catAx>
      <c:valAx>
        <c:axId val="2108545167"/>
        <c:scaling>
          <c:orientation val="minMax"/>
        </c:scaling>
        <c:delete val="0"/>
        <c:axPos val="l"/>
        <c:majorGridlines/>
        <c:title>
          <c:tx>
            <c:rich>
              <a:bodyPr/>
              <a:lstStyle/>
              <a:p>
                <a:pPr>
                  <a:defRPr/>
                </a:pPr>
                <a:r>
                  <a:rPr lang="es-CO"/>
                  <a:t>FF (%)</a:t>
                </a:r>
              </a:p>
            </c:rich>
          </c:tx>
          <c:overlay val="0"/>
        </c:title>
        <c:numFmt formatCode="#,#00%" sourceLinked="0"/>
        <c:majorTickMark val="out"/>
        <c:minorTickMark val="none"/>
        <c:tickLblPos val="nextTo"/>
        <c:crossAx val="210853975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Perdida por mismatch -- ASP-ST1-T40 + MID 15KTL3-X</a:t>
            </a:r>
          </a:p>
        </c:rich>
      </c:tx>
      <c:overlay val="0"/>
    </c:title>
    <c:autoTitleDeleted val="0"/>
    <c:plotArea>
      <c:layout/>
      <c:lineChart>
        <c:grouping val="standard"/>
        <c:varyColors val="0"/>
        <c:ser>
          <c:idx val="0"/>
          <c:order val="0"/>
          <c:tx>
            <c:v>Perdida por mismatch (%)</c:v>
          </c:tx>
          <c:cat>
            <c:strRef>
              <c:f>'Mismatch_ASP-ST1-T40'!$A$16:$A$19</c:f>
              <c:strCache>
                <c:ptCount val="4"/>
                <c:pt idx="0">
                  <c:v>Si</c:v>
                </c:pt>
                <c:pt idx="1">
                  <c:v>Si</c:v>
                </c:pt>
                <c:pt idx="2">
                  <c:v>Si</c:v>
                </c:pt>
                <c:pt idx="3">
                  <c:v>Si</c:v>
                </c:pt>
              </c:strCache>
            </c:strRef>
          </c:cat>
          <c:val>
            <c:numRef>
              <c:f>'Mismatch_ASP-ST1-T40'!$N$16:$N$19</c:f>
              <c:numCache>
                <c:formatCode>0.00\%</c:formatCode>
                <c:ptCount val="4"/>
                <c:pt idx="0">
                  <c:v>0.26522295798911366</c:v>
                </c:pt>
                <c:pt idx="1">
                  <c:v>2.2274887222468838</c:v>
                </c:pt>
                <c:pt idx="2">
                  <c:v>4.8161044113121871</c:v>
                </c:pt>
                <c:pt idx="3">
                  <c:v>5.7454040556185353</c:v>
                </c:pt>
              </c:numCache>
            </c:numRef>
          </c:val>
          <c:smooth val="0"/>
          <c:extLst>
            <c:ext xmlns:c16="http://schemas.microsoft.com/office/drawing/2014/chart" uri="{C3380CC4-5D6E-409C-BE32-E72D297353CC}">
              <c16:uniqueId val="{00000001-95FA-4001-8918-8574B537CFCC}"/>
            </c:ext>
          </c:extLst>
        </c:ser>
        <c:dLbls>
          <c:showLegendKey val="0"/>
          <c:showVal val="0"/>
          <c:showCatName val="0"/>
          <c:showSerName val="0"/>
          <c:showPercent val="0"/>
          <c:showBubbleSize val="0"/>
        </c:dLbls>
        <c:marker val="1"/>
        <c:smooth val="0"/>
        <c:axId val="70671087"/>
        <c:axId val="70669007"/>
      </c:lineChart>
      <c:catAx>
        <c:axId val="70671087"/>
        <c:scaling>
          <c:orientation val="minMax"/>
        </c:scaling>
        <c:delete val="0"/>
        <c:axPos val="b"/>
        <c:title>
          <c:tx>
            <c:rich>
              <a:bodyPr/>
              <a:lstStyle/>
              <a:p>
                <a:pPr>
                  <a:defRPr/>
                </a:pPr>
                <a:r>
                  <a:rPr lang="es-CO"/>
                  <a:t>% Sombra en Grupo 2</a:t>
                </a:r>
              </a:p>
            </c:rich>
          </c:tx>
          <c:overlay val="0"/>
        </c:title>
        <c:numFmt formatCode="General" sourceLinked="1"/>
        <c:majorTickMark val="out"/>
        <c:minorTickMark val="none"/>
        <c:tickLblPos val="nextTo"/>
        <c:crossAx val="70669007"/>
        <c:crosses val="autoZero"/>
        <c:auto val="1"/>
        <c:lblAlgn val="ctr"/>
        <c:lblOffset val="100"/>
        <c:noMultiLvlLbl val="0"/>
      </c:catAx>
      <c:valAx>
        <c:axId val="70669007"/>
        <c:scaling>
          <c:orientation val="minMax"/>
        </c:scaling>
        <c:delete val="0"/>
        <c:axPos val="l"/>
        <c:majorGridlines/>
        <c:title>
          <c:tx>
            <c:rich>
              <a:bodyPr/>
              <a:lstStyle/>
              <a:p>
                <a:pPr>
                  <a:defRPr/>
                </a:pPr>
                <a:r>
                  <a:rPr lang="es-CO"/>
                  <a:t>Perdida (%)</a:t>
                </a:r>
              </a:p>
            </c:rich>
          </c:tx>
          <c:overlay val="0"/>
        </c:title>
        <c:numFmt formatCode="#,000\%" sourceLinked="0"/>
        <c:majorTickMark val="out"/>
        <c:minorTickMark val="none"/>
        <c:tickLblPos val="nextTo"/>
        <c:crossAx val="706710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4</xdr:row>
          <xdr:rowOff>152400</xdr:rowOff>
        </xdr:from>
        <xdr:to>
          <xdr:col>10</xdr:col>
          <xdr:colOff>514350</xdr:colOff>
          <xdr:row>10</xdr:row>
          <xdr:rowOff>47625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400" b="1" i="1" u="none" strike="noStrike" baseline="0">
                  <a:solidFill>
                    <a:srgbClr val="000000"/>
                  </a:solidFill>
                  <a:latin typeface="Calibri"/>
                  <a:cs typeface="Calibri"/>
                </a:rPr>
                <a:t>OPTIMIZADOR Npaneles/String1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25</xdr:row>
      <xdr:rowOff>0</xdr:rowOff>
    </xdr:from>
    <xdr:to>
      <xdr:col>1</xdr:col>
      <xdr:colOff>3819525</xdr:colOff>
      <xdr:row>42</xdr:row>
      <xdr:rowOff>63500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180975</xdr:colOff>
      <xdr:row>54</xdr:row>
      <xdr:rowOff>85725</xdr:rowOff>
    </xdr:from>
    <xdr:to>
      <xdr:col>1</xdr:col>
      <xdr:colOff>4762500</xdr:colOff>
      <xdr:row>73</xdr:row>
      <xdr:rowOff>22225</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66675</xdr:colOff>
      <xdr:row>58</xdr:row>
      <xdr:rowOff>123825</xdr:rowOff>
    </xdr:from>
    <xdr:to>
      <xdr:col>2</xdr:col>
      <xdr:colOff>1431925</xdr:colOff>
      <xdr:row>78</xdr:row>
      <xdr:rowOff>123825</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46</xdr:row>
      <xdr:rowOff>0</xdr:rowOff>
    </xdr:from>
    <xdr:to>
      <xdr:col>2</xdr:col>
      <xdr:colOff>701675</xdr:colOff>
      <xdr:row>67</xdr:row>
      <xdr:rowOff>63500</xdr:rowOff>
    </xdr:to>
    <xdr:graphicFrame macro="">
      <xdr:nvGraphicFramePr>
        <xdr:cNvPr id="7" name="Gráfico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22</xdr:row>
      <xdr:rowOff>0</xdr:rowOff>
    </xdr:from>
    <xdr:to>
      <xdr:col>2</xdr:col>
      <xdr:colOff>431800</xdr:colOff>
      <xdr:row>40</xdr:row>
      <xdr:rowOff>127000</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05D6B-3E8B-4D19-B175-9618C721CFA1}">
  <sheetPr codeName="Hoja3"/>
  <dimension ref="A1:K36"/>
  <sheetViews>
    <sheetView showGridLines="0" workbookViewId="0">
      <selection activeCell="L38" sqref="L38"/>
    </sheetView>
  </sheetViews>
  <sheetFormatPr baseColWidth="10" defaultColWidth="9.140625" defaultRowHeight="15" x14ac:dyDescent="0.25"/>
  <cols>
    <col min="1" max="1" width="57.5703125" customWidth="1"/>
    <col min="2" max="2" width="91" customWidth="1"/>
    <col min="3" max="3" width="60.140625" customWidth="1"/>
    <col min="4" max="4" width="22.140625" customWidth="1"/>
    <col min="8" max="8" width="26.28515625" customWidth="1"/>
  </cols>
  <sheetData>
    <row r="1" spans="1:8" ht="15.75" x14ac:dyDescent="0.25">
      <c r="A1" s="87" t="s">
        <v>295</v>
      </c>
      <c r="B1" s="88"/>
      <c r="C1" s="88"/>
    </row>
    <row r="2" spans="1:8" x14ac:dyDescent="0.25">
      <c r="A2" s="21" t="s">
        <v>1</v>
      </c>
      <c r="B2" s="21" t="s">
        <v>2</v>
      </c>
      <c r="C2" s="21" t="s">
        <v>79</v>
      </c>
    </row>
    <row r="3" spans="1:8" x14ac:dyDescent="0.25">
      <c r="A3" t="s">
        <v>78</v>
      </c>
      <c r="B3" s="20">
        <v>8</v>
      </c>
      <c r="C3" t="s">
        <v>77</v>
      </c>
    </row>
    <row r="4" spans="1:8" x14ac:dyDescent="0.25">
      <c r="A4" t="s">
        <v>76</v>
      </c>
      <c r="B4" s="20">
        <v>8</v>
      </c>
      <c r="C4" t="s">
        <v>75</v>
      </c>
      <c r="E4">
        <v>200</v>
      </c>
    </row>
    <row r="5" spans="1:8" x14ac:dyDescent="0.25">
      <c r="A5" t="s">
        <v>629</v>
      </c>
      <c r="B5" s="20">
        <v>128</v>
      </c>
      <c r="C5" s="39" t="s">
        <v>125</v>
      </c>
      <c r="E5" s="56">
        <v>200</v>
      </c>
    </row>
    <row r="6" spans="1:8" x14ac:dyDescent="0.25">
      <c r="A6" t="s">
        <v>122</v>
      </c>
      <c r="B6">
        <v>97.34</v>
      </c>
      <c r="E6" s="56">
        <v>200</v>
      </c>
    </row>
    <row r="7" spans="1:8" x14ac:dyDescent="0.25">
      <c r="A7" t="s">
        <v>123</v>
      </c>
      <c r="B7" t="s">
        <v>124</v>
      </c>
      <c r="E7" s="56">
        <v>200</v>
      </c>
    </row>
    <row r="8" spans="1:8" x14ac:dyDescent="0.25">
      <c r="A8" s="69"/>
      <c r="E8" s="56">
        <v>200</v>
      </c>
    </row>
    <row r="9" spans="1:8" x14ac:dyDescent="0.25">
      <c r="A9" s="69"/>
    </row>
    <row r="10" spans="1:8" x14ac:dyDescent="0.25">
      <c r="A10" s="69"/>
    </row>
    <row r="11" spans="1:8" x14ac:dyDescent="0.25">
      <c r="A11" s="69"/>
    </row>
    <row r="12" spans="1:8" x14ac:dyDescent="0.25">
      <c r="A12" s="69"/>
    </row>
    <row r="13" spans="1:8" x14ac:dyDescent="0.25">
      <c r="A13" s="69"/>
    </row>
    <row r="14" spans="1:8" x14ac:dyDescent="0.25">
      <c r="A14" s="69"/>
    </row>
    <row r="15" spans="1:8" x14ac:dyDescent="0.25">
      <c r="A15" s="69"/>
    </row>
    <row r="16" spans="1:8" x14ac:dyDescent="0.25">
      <c r="A16" s="69"/>
      <c r="H16" s="56"/>
    </row>
    <row r="17" spans="1:8" x14ac:dyDescent="0.25">
      <c r="A17" s="80"/>
      <c r="H17" s="56"/>
    </row>
    <row r="18" spans="1:8" x14ac:dyDescent="0.25">
      <c r="A18" s="69"/>
      <c r="H18" s="56"/>
    </row>
    <row r="19" spans="1:8" x14ac:dyDescent="0.25">
      <c r="A19" s="69"/>
      <c r="H19" s="56"/>
    </row>
    <row r="20" spans="1:8" x14ac:dyDescent="0.25">
      <c r="A20" s="69"/>
      <c r="H20" s="56"/>
    </row>
    <row r="21" spans="1:8" x14ac:dyDescent="0.25">
      <c r="A21" s="69"/>
      <c r="H21" s="56"/>
    </row>
    <row r="22" spans="1:8" x14ac:dyDescent="0.25">
      <c r="A22" s="69"/>
      <c r="H22" s="56"/>
    </row>
    <row r="23" spans="1:8" x14ac:dyDescent="0.25">
      <c r="A23" s="69"/>
      <c r="H23" s="56"/>
    </row>
    <row r="24" spans="1:8" x14ac:dyDescent="0.25">
      <c r="A24" s="69"/>
    </row>
    <row r="25" spans="1:8" x14ac:dyDescent="0.25">
      <c r="A25" s="69"/>
    </row>
    <row r="26" spans="1:8" x14ac:dyDescent="0.25">
      <c r="A26" s="69"/>
    </row>
    <row r="27" spans="1:8" x14ac:dyDescent="0.25">
      <c r="A27" s="69"/>
    </row>
    <row r="28" spans="1:8" x14ac:dyDescent="0.25">
      <c r="A28" s="69"/>
    </row>
    <row r="29" spans="1:8" x14ac:dyDescent="0.25">
      <c r="A29" s="69"/>
    </row>
    <row r="30" spans="1:8" x14ac:dyDescent="0.25">
      <c r="A30" s="69"/>
    </row>
    <row r="31" spans="1:8" x14ac:dyDescent="0.25">
      <c r="A31" s="69"/>
    </row>
    <row r="32" spans="1:8" x14ac:dyDescent="0.25">
      <c r="A32" s="69"/>
    </row>
    <row r="33" spans="1:11" x14ac:dyDescent="0.25">
      <c r="A33" s="69"/>
      <c r="K33">
        <v>13</v>
      </c>
    </row>
    <row r="34" spans="1:11" x14ac:dyDescent="0.25">
      <c r="A34" s="69"/>
      <c r="H34">
        <v>200</v>
      </c>
      <c r="K34">
        <v>26</v>
      </c>
    </row>
    <row r="35" spans="1:11" x14ac:dyDescent="0.25">
      <c r="A35" s="69"/>
      <c r="K35">
        <v>26</v>
      </c>
    </row>
    <row r="36" spans="1:11" x14ac:dyDescent="0.25">
      <c r="A36" s="69"/>
      <c r="K36">
        <v>26</v>
      </c>
    </row>
  </sheetData>
  <mergeCells count="1">
    <mergeCell ref="A1:C1"/>
  </mergeCells>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66"/>
  <sheetViews>
    <sheetView showGridLines="0" topLeftCell="A10" zoomScaleNormal="100" workbookViewId="0">
      <selection activeCell="B11" sqref="B11"/>
    </sheetView>
  </sheetViews>
  <sheetFormatPr baseColWidth="10" defaultColWidth="8.7109375" defaultRowHeight="15" x14ac:dyDescent="0.25"/>
  <cols>
    <col min="1" max="1" width="83" style="1" bestFit="1" customWidth="1"/>
    <col min="2" max="2" width="34.5703125" style="1" customWidth="1"/>
    <col min="3" max="3" width="20.7109375" style="1" customWidth="1"/>
    <col min="4" max="4" width="22.140625" style="1" customWidth="1"/>
    <col min="5" max="5" width="16" style="1" customWidth="1"/>
    <col min="8" max="8" width="26.28515625" customWidth="1"/>
  </cols>
  <sheetData>
    <row r="1" spans="1:8" ht="19.5" customHeight="1" x14ac:dyDescent="0.25">
      <c r="A1" s="90" t="s">
        <v>295</v>
      </c>
      <c r="B1" s="90"/>
      <c r="C1" s="90"/>
      <c r="D1" s="90"/>
      <c r="E1" s="90"/>
    </row>
    <row r="3" spans="1:8" ht="15" customHeight="1" x14ac:dyDescent="0.25">
      <c r="A3" s="91" t="s">
        <v>0</v>
      </c>
      <c r="B3" s="91"/>
      <c r="C3" s="91"/>
      <c r="D3" s="91"/>
      <c r="E3" s="91"/>
    </row>
    <row r="4" spans="1:8" ht="15" customHeight="1" x14ac:dyDescent="0.25">
      <c r="A4" s="2" t="s">
        <v>1</v>
      </c>
      <c r="B4" s="2" t="s">
        <v>2</v>
      </c>
      <c r="C4" s="2" t="s">
        <v>3</v>
      </c>
      <c r="D4" s="2" t="s">
        <v>4</v>
      </c>
      <c r="E4" s="1">
        <v>200</v>
      </c>
    </row>
    <row r="5" spans="1:8" ht="15" customHeight="1" x14ac:dyDescent="0.25">
      <c r="A5" s="3" t="s">
        <v>437</v>
      </c>
      <c r="B5" s="4">
        <v>116</v>
      </c>
      <c r="C5" s="3" t="s">
        <v>5</v>
      </c>
      <c r="D5" s="5" t="s">
        <v>6</v>
      </c>
      <c r="E5" s="1">
        <v>200</v>
      </c>
    </row>
    <row r="6" spans="1:8" ht="15" customHeight="1" x14ac:dyDescent="0.25">
      <c r="A6" s="3" t="s">
        <v>7</v>
      </c>
      <c r="B6" s="4">
        <v>86.4</v>
      </c>
      <c r="C6" s="3" t="s">
        <v>5</v>
      </c>
      <c r="D6" s="5" t="s">
        <v>6</v>
      </c>
      <c r="E6" s="1">
        <v>200</v>
      </c>
    </row>
    <row r="7" spans="1:8" ht="15" customHeight="1" x14ac:dyDescent="0.25">
      <c r="A7" s="48" t="s">
        <v>8</v>
      </c>
      <c r="B7" s="4">
        <v>0.8</v>
      </c>
      <c r="C7" s="3" t="s">
        <v>9</v>
      </c>
      <c r="D7" s="5" t="s">
        <v>6</v>
      </c>
      <c r="E7" s="1">
        <v>200</v>
      </c>
    </row>
    <row r="8" spans="1:8" ht="15" customHeight="1" x14ac:dyDescent="0.25">
      <c r="A8" s="3" t="s">
        <v>438</v>
      </c>
      <c r="B8" s="4">
        <v>0.7</v>
      </c>
      <c r="C8" s="3" t="s">
        <v>9</v>
      </c>
      <c r="D8" s="5" t="s">
        <v>6</v>
      </c>
      <c r="E8" s="1">
        <v>200</v>
      </c>
    </row>
    <row r="9" spans="1:8" ht="15" customHeight="1" x14ac:dyDescent="0.25">
      <c r="A9" s="3" t="s">
        <v>439</v>
      </c>
      <c r="B9" s="4">
        <v>63</v>
      </c>
      <c r="C9" s="3" t="s">
        <v>10</v>
      </c>
      <c r="D9" s="5" t="s">
        <v>6</v>
      </c>
    </row>
    <row r="10" spans="1:8" ht="15" customHeight="1" x14ac:dyDescent="0.25">
      <c r="A10" s="3" t="s">
        <v>440</v>
      </c>
      <c r="B10" s="73">
        <v>-0.32100000000000001</v>
      </c>
      <c r="C10" s="3" t="s">
        <v>11</v>
      </c>
      <c r="D10" s="5" t="s">
        <v>6</v>
      </c>
    </row>
    <row r="11" spans="1:8" ht="15" customHeight="1" x14ac:dyDescent="0.25">
      <c r="A11" s="3" t="s">
        <v>441</v>
      </c>
      <c r="B11" s="74">
        <v>0.06</v>
      </c>
      <c r="C11" s="3" t="s">
        <v>11</v>
      </c>
      <c r="D11" s="5" t="s">
        <v>6</v>
      </c>
    </row>
    <row r="12" spans="1:8" ht="15" customHeight="1" x14ac:dyDescent="0.25">
      <c r="A12" t="s">
        <v>464</v>
      </c>
      <c r="B12" s="74">
        <v>-0.214</v>
      </c>
      <c r="C12" s="3" t="s">
        <v>11</v>
      </c>
      <c r="D12" s="5" t="s">
        <v>6</v>
      </c>
    </row>
    <row r="14" spans="1:8" ht="15" customHeight="1" x14ac:dyDescent="0.25">
      <c r="A14" s="89" t="s">
        <v>442</v>
      </c>
      <c r="B14" s="91"/>
      <c r="C14" s="91"/>
      <c r="D14" s="91"/>
      <c r="E14" s="91"/>
    </row>
    <row r="15" spans="1:8" ht="15" customHeight="1" x14ac:dyDescent="0.25">
      <c r="A15" s="17" t="s">
        <v>1</v>
      </c>
      <c r="B15" s="2" t="s">
        <v>2</v>
      </c>
      <c r="C15" s="2" t="s">
        <v>3</v>
      </c>
      <c r="D15" s="2" t="s">
        <v>4</v>
      </c>
    </row>
    <row r="16" spans="1:8" ht="15" customHeight="1" x14ac:dyDescent="0.25">
      <c r="A16" s="3" t="s">
        <v>443</v>
      </c>
      <c r="B16" s="4">
        <v>1100</v>
      </c>
      <c r="C16" s="3" t="s">
        <v>5</v>
      </c>
      <c r="D16" s="5" t="s">
        <v>12</v>
      </c>
      <c r="H16" s="56"/>
    </row>
    <row r="17" spans="1:8" ht="15" customHeight="1" x14ac:dyDescent="0.25">
      <c r="A17" s="3" t="s">
        <v>444</v>
      </c>
      <c r="B17" s="4">
        <v>250</v>
      </c>
      <c r="C17" s="3" t="s">
        <v>5</v>
      </c>
      <c r="D17" s="5" t="s">
        <v>12</v>
      </c>
      <c r="H17" s="56"/>
    </row>
    <row r="18" spans="1:8" ht="15" customHeight="1" x14ac:dyDescent="0.25">
      <c r="A18" s="3" t="s">
        <v>445</v>
      </c>
      <c r="B18" s="4">
        <v>200</v>
      </c>
      <c r="C18" s="3" t="s">
        <v>5</v>
      </c>
      <c r="D18" s="5" t="s">
        <v>12</v>
      </c>
      <c r="H18" s="56"/>
    </row>
    <row r="19" spans="1:8" ht="15" customHeight="1" x14ac:dyDescent="0.25">
      <c r="A19" s="3" t="s">
        <v>446</v>
      </c>
      <c r="B19" s="4">
        <v>1000</v>
      </c>
      <c r="C19" s="3" t="s">
        <v>5</v>
      </c>
      <c r="D19" s="5" t="s">
        <v>12</v>
      </c>
      <c r="H19" s="56"/>
    </row>
    <row r="20" spans="1:8" ht="15" customHeight="1" x14ac:dyDescent="0.25">
      <c r="A20" s="3" t="s">
        <v>447</v>
      </c>
      <c r="B20" s="4">
        <v>580</v>
      </c>
      <c r="C20" s="3" t="s">
        <v>5</v>
      </c>
      <c r="D20" s="5" t="s">
        <v>12</v>
      </c>
      <c r="H20" s="56"/>
    </row>
    <row r="21" spans="1:8" ht="15" customHeight="1" x14ac:dyDescent="0.25">
      <c r="A21" s="3" t="s">
        <v>448</v>
      </c>
      <c r="B21" s="4">
        <v>2</v>
      </c>
      <c r="C21" s="3" t="s">
        <v>13</v>
      </c>
      <c r="D21" s="5" t="s">
        <v>12</v>
      </c>
      <c r="H21" s="56"/>
    </row>
    <row r="22" spans="1:8" ht="15" customHeight="1" x14ac:dyDescent="0.25">
      <c r="A22" s="3" t="s">
        <v>449</v>
      </c>
      <c r="B22" s="4">
        <v>2</v>
      </c>
      <c r="C22" s="3" t="s">
        <v>13</v>
      </c>
      <c r="D22" s="5" t="s">
        <v>12</v>
      </c>
      <c r="H22" s="56"/>
    </row>
    <row r="23" spans="1:8" ht="15" customHeight="1" x14ac:dyDescent="0.25">
      <c r="A23" s="3" t="s">
        <v>450</v>
      </c>
      <c r="B23" s="4">
        <v>27</v>
      </c>
      <c r="C23" s="3" t="s">
        <v>9</v>
      </c>
      <c r="D23" s="5" t="s">
        <v>12</v>
      </c>
      <c r="H23" s="56"/>
    </row>
    <row r="24" spans="1:8" ht="15" customHeight="1" x14ac:dyDescent="0.25">
      <c r="A24" s="3" t="s">
        <v>451</v>
      </c>
      <c r="B24" s="4">
        <v>33.799999999999997</v>
      </c>
      <c r="C24" s="3" t="s">
        <v>9</v>
      </c>
      <c r="D24" s="5" t="s">
        <v>12</v>
      </c>
    </row>
    <row r="25" spans="1:8" ht="15" customHeight="1" x14ac:dyDescent="0.25">
      <c r="A25" s="3" t="s">
        <v>452</v>
      </c>
      <c r="B25" s="4">
        <v>22500</v>
      </c>
      <c r="C25" s="3" t="s">
        <v>10</v>
      </c>
      <c r="D25" s="5" t="s">
        <v>12</v>
      </c>
    </row>
    <row r="26" spans="1:8" ht="15" customHeight="1" x14ac:dyDescent="0.25">
      <c r="A26" s="3" t="s">
        <v>453</v>
      </c>
      <c r="B26" s="4">
        <v>15000</v>
      </c>
      <c r="C26" s="3" t="s">
        <v>10</v>
      </c>
      <c r="D26" s="5" t="s">
        <v>12</v>
      </c>
    </row>
    <row r="28" spans="1:8" ht="15" customHeight="1" x14ac:dyDescent="0.25">
      <c r="A28" s="89" t="s">
        <v>454</v>
      </c>
      <c r="B28" s="91"/>
      <c r="C28" s="91"/>
      <c r="D28" s="91"/>
      <c r="E28" s="91"/>
    </row>
    <row r="29" spans="1:8" ht="15" customHeight="1" x14ac:dyDescent="0.25">
      <c r="A29" s="17" t="s">
        <v>1</v>
      </c>
      <c r="B29" s="2" t="s">
        <v>2</v>
      </c>
      <c r="C29" s="2" t="s">
        <v>3</v>
      </c>
      <c r="D29" s="2" t="s">
        <v>4</v>
      </c>
    </row>
    <row r="30" spans="1:8" ht="15" customHeight="1" x14ac:dyDescent="0.25">
      <c r="A30" s="3" t="s">
        <v>455</v>
      </c>
      <c r="B30" s="6">
        <v>-5</v>
      </c>
      <c r="C30" s="3" t="s">
        <v>14</v>
      </c>
      <c r="D30" s="5" t="s">
        <v>15</v>
      </c>
    </row>
    <row r="31" spans="1:8" ht="15" customHeight="1" x14ac:dyDescent="0.25">
      <c r="A31" s="3" t="s">
        <v>456</v>
      </c>
      <c r="B31" s="6">
        <v>36.350892704374992</v>
      </c>
      <c r="C31" s="3" t="s">
        <v>14</v>
      </c>
      <c r="D31" s="5" t="s">
        <v>16</v>
      </c>
    </row>
    <row r="32" spans="1:8" ht="15" customHeight="1" x14ac:dyDescent="0.25">
      <c r="A32" s="3" t="s">
        <v>457</v>
      </c>
      <c r="B32" s="6">
        <v>41.939200687499998</v>
      </c>
      <c r="C32" s="3" t="s">
        <v>14</v>
      </c>
      <c r="D32" s="5" t="s">
        <v>17</v>
      </c>
    </row>
    <row r="33" spans="1:11" ht="15" customHeight="1" x14ac:dyDescent="0.25">
      <c r="A33" s="3" t="s">
        <v>458</v>
      </c>
      <c r="B33" s="4">
        <v>1.25</v>
      </c>
      <c r="C33" s="3" t="s">
        <v>18</v>
      </c>
      <c r="D33" s="5" t="s">
        <v>19</v>
      </c>
      <c r="K33">
        <v>13</v>
      </c>
    </row>
    <row r="34" spans="1:11" ht="15" customHeight="1" x14ac:dyDescent="0.25">
      <c r="A34" s="3" t="s">
        <v>459</v>
      </c>
      <c r="B34" s="7">
        <v>184</v>
      </c>
      <c r="C34" s="3" t="s">
        <v>13</v>
      </c>
      <c r="D34" s="8" t="s">
        <v>20</v>
      </c>
      <c r="H34">
        <v>200</v>
      </c>
      <c r="K34">
        <v>26</v>
      </c>
    </row>
    <row r="35" spans="1:11" x14ac:dyDescent="0.25">
      <c r="A35" s="15" t="s">
        <v>460</v>
      </c>
      <c r="B35" s="15">
        <v>20</v>
      </c>
      <c r="C35" s="15" t="s">
        <v>14</v>
      </c>
      <c r="D35" s="15" t="s">
        <v>180</v>
      </c>
      <c r="K35">
        <v>26</v>
      </c>
    </row>
    <row r="36" spans="1:11" ht="30" customHeight="1" x14ac:dyDescent="0.25">
      <c r="A36" s="92" t="s">
        <v>461</v>
      </c>
      <c r="B36" s="93"/>
      <c r="C36" s="93"/>
      <c r="D36" s="93"/>
      <c r="E36" s="93"/>
      <c r="K36">
        <v>26</v>
      </c>
    </row>
    <row r="37" spans="1:11" ht="15" customHeight="1" x14ac:dyDescent="0.25">
      <c r="A37" s="89" t="s">
        <v>21</v>
      </c>
      <c r="B37" s="89"/>
      <c r="C37" s="89"/>
      <c r="D37" s="89"/>
      <c r="E37" s="89"/>
    </row>
    <row r="38" spans="1:11" ht="15" customHeight="1" x14ac:dyDescent="0.25">
      <c r="A38" s="3" t="s">
        <v>22</v>
      </c>
      <c r="B38" s="9">
        <v>6790</v>
      </c>
      <c r="C38" s="3" t="s">
        <v>23</v>
      </c>
      <c r="D38" s="8" t="s">
        <v>24</v>
      </c>
    </row>
    <row r="39" spans="1:11" ht="15" customHeight="1" x14ac:dyDescent="0.25">
      <c r="A39" s="3" t="s">
        <v>25</v>
      </c>
      <c r="B39" s="9">
        <v>363.7</v>
      </c>
      <c r="C39" s="3" t="s">
        <v>26</v>
      </c>
      <c r="D39" s="8" t="s">
        <v>27</v>
      </c>
    </row>
    <row r="40" spans="1:11" x14ac:dyDescent="0.25">
      <c r="A40" s="15"/>
      <c r="B40" s="15"/>
      <c r="C40" s="15"/>
      <c r="D40" s="15"/>
    </row>
    <row r="41" spans="1:11" ht="15" customHeight="1" x14ac:dyDescent="0.25">
      <c r="A41" s="3" t="s">
        <v>28</v>
      </c>
      <c r="B41" s="10">
        <f>B38/B39</f>
        <v>18.669232884245258</v>
      </c>
      <c r="C41" s="3" t="s">
        <v>29</v>
      </c>
      <c r="D41" s="15"/>
    </row>
    <row r="42" spans="1:11" ht="15" customHeight="1" x14ac:dyDescent="0.25">
      <c r="A42" s="3" t="s">
        <v>30</v>
      </c>
      <c r="B42" s="10">
        <f>ROUNDUP(B41*1000/B9,0)</f>
        <v>297</v>
      </c>
      <c r="C42" s="3" t="s">
        <v>13</v>
      </c>
      <c r="D42" s="8" t="s">
        <v>31</v>
      </c>
    </row>
    <row r="43" spans="1:11" x14ac:dyDescent="0.25">
      <c r="A43" s="15"/>
      <c r="B43" s="15"/>
      <c r="C43" s="15"/>
      <c r="D43" s="15"/>
    </row>
    <row r="44" spans="1:11" ht="15" customHeight="1" x14ac:dyDescent="0.25">
      <c r="A44" s="35" t="s">
        <v>32</v>
      </c>
      <c r="B44" s="36">
        <v>5</v>
      </c>
      <c r="C44" s="35" t="s">
        <v>33</v>
      </c>
      <c r="D44" s="37" t="s">
        <v>34</v>
      </c>
    </row>
    <row r="45" spans="1:11" x14ac:dyDescent="0.25">
      <c r="A45" s="29"/>
      <c r="B45" s="29"/>
      <c r="C45" s="29"/>
      <c r="D45" s="29"/>
    </row>
    <row r="46" spans="1:11" x14ac:dyDescent="0.25">
      <c r="A46" s="28" t="s">
        <v>86</v>
      </c>
      <c r="B46" s="38">
        <f>IF(B48&lt;&gt;"",B48,IF(B47="CdTe",1750*ABS($B$12)/100+47.4,IF(B47="CIGS",1650*ABS($B$12)/100+47,IF(B47="Mono-Si",1200*ABS($B$12)/100+52,IF(B47="Poli-Si",1100*ABS($B$12)/100+54,"ERROR: tecnologia no reconocida")))))</f>
        <v>51.144999999999996</v>
      </c>
      <c r="C46" s="29"/>
      <c r="D46" s="29"/>
    </row>
    <row r="47" spans="1:11" x14ac:dyDescent="0.25">
      <c r="A47" s="34" t="s">
        <v>111</v>
      </c>
      <c r="B47" s="34" t="s">
        <v>112</v>
      </c>
      <c r="C47" s="34" t="s">
        <v>18</v>
      </c>
      <c r="D47" s="34" t="s">
        <v>113</v>
      </c>
    </row>
    <row r="48" spans="1:11" x14ac:dyDescent="0.25">
      <c r="A48" s="34" t="s">
        <v>114</v>
      </c>
      <c r="B48" s="29"/>
      <c r="C48" s="34" t="s">
        <v>14</v>
      </c>
      <c r="D48" s="34" t="s">
        <v>115</v>
      </c>
    </row>
    <row r="49" spans="1:4" x14ac:dyDescent="0.25">
      <c r="A49" s="34" t="s">
        <v>116</v>
      </c>
      <c r="B49" s="34" t="str">
        <f>IF(B48&lt;&gt;"","REAL (ficha de fabricante)","ESTIMADO (regresion tecnologia "&amp;B47&amp;")")</f>
        <v>ESTIMADO (regresion tecnologia CdTe)</v>
      </c>
      <c r="C49" s="29"/>
      <c r="D49" s="29"/>
    </row>
    <row r="50" spans="1:4" x14ac:dyDescent="0.25">
      <c r="A50" s="34" t="s">
        <v>119</v>
      </c>
      <c r="B50" s="34">
        <v>1.2</v>
      </c>
      <c r="C50" s="29"/>
      <c r="D50" s="29"/>
    </row>
    <row r="51" spans="1:4" x14ac:dyDescent="0.25">
      <c r="A51" s="34" t="s">
        <v>120</v>
      </c>
      <c r="B51">
        <v>0.6</v>
      </c>
      <c r="C51" s="29"/>
      <c r="D51" s="29"/>
    </row>
    <row r="52" spans="1:4" x14ac:dyDescent="0.25">
      <c r="A52" t="s">
        <v>121</v>
      </c>
      <c r="B52">
        <f>B50*B51</f>
        <v>0.72</v>
      </c>
      <c r="C52" s="29"/>
      <c r="D52" s="29"/>
    </row>
    <row r="53" spans="1:4" x14ac:dyDescent="0.25">
      <c r="A53" s="29"/>
      <c r="B53" s="29"/>
      <c r="C53" s="29"/>
      <c r="D53" s="29"/>
    </row>
    <row r="54" spans="1:4" x14ac:dyDescent="0.25">
      <c r="A54" s="29"/>
      <c r="B54" s="29"/>
      <c r="C54" s="29"/>
      <c r="D54" s="29"/>
    </row>
    <row r="55" spans="1:4" x14ac:dyDescent="0.25">
      <c r="A55" s="29"/>
      <c r="B55" s="29"/>
      <c r="C55" s="29"/>
      <c r="D55" s="29"/>
    </row>
    <row r="56" spans="1:4" x14ac:dyDescent="0.25">
      <c r="A56" s="29"/>
      <c r="B56" s="29"/>
      <c r="C56" s="29"/>
      <c r="D56" s="29"/>
    </row>
    <row r="57" spans="1:4" x14ac:dyDescent="0.25">
      <c r="A57" s="29"/>
      <c r="B57" s="29"/>
      <c r="C57" s="29"/>
      <c r="D57" s="29"/>
    </row>
    <row r="58" spans="1:4" x14ac:dyDescent="0.25">
      <c r="A58" s="29"/>
      <c r="B58" s="29"/>
      <c r="C58" s="29"/>
      <c r="D58" s="29"/>
    </row>
    <row r="59" spans="1:4" x14ac:dyDescent="0.25">
      <c r="A59" s="29"/>
      <c r="B59" s="29"/>
      <c r="C59" s="29"/>
      <c r="D59" s="29"/>
    </row>
    <row r="60" spans="1:4" x14ac:dyDescent="0.25">
      <c r="A60" s="29"/>
      <c r="B60" s="29"/>
      <c r="C60" s="29"/>
      <c r="D60" s="29"/>
    </row>
    <row r="61" spans="1:4" x14ac:dyDescent="0.25">
      <c r="A61" s="29"/>
      <c r="B61" s="29"/>
      <c r="C61" s="29"/>
      <c r="D61" s="29"/>
    </row>
    <row r="62" spans="1:4" x14ac:dyDescent="0.25">
      <c r="A62" s="29"/>
      <c r="B62" s="29"/>
      <c r="C62" s="29"/>
      <c r="D62" s="29"/>
    </row>
    <row r="63" spans="1:4" x14ac:dyDescent="0.25">
      <c r="A63" s="29"/>
      <c r="B63" s="29"/>
      <c r="C63" s="29"/>
      <c r="D63" s="29"/>
    </row>
    <row r="64" spans="1:4" x14ac:dyDescent="0.25">
      <c r="A64" s="29"/>
      <c r="B64" s="29"/>
      <c r="C64" s="29"/>
      <c r="D64" s="29"/>
    </row>
    <row r="65" spans="1:4" x14ac:dyDescent="0.25">
      <c r="A65" s="29"/>
      <c r="B65" s="29"/>
      <c r="C65" s="29"/>
      <c r="D65" s="29"/>
    </row>
    <row r="66" spans="1:4" x14ac:dyDescent="0.25">
      <c r="A66" s="29"/>
      <c r="B66" s="29"/>
      <c r="C66" s="29"/>
      <c r="D66" s="29"/>
    </row>
  </sheetData>
  <mergeCells count="6">
    <mergeCell ref="A37:E37"/>
    <mergeCell ref="A1:E1"/>
    <mergeCell ref="A3:E3"/>
    <mergeCell ref="A14:E14"/>
    <mergeCell ref="A28:E28"/>
    <mergeCell ref="A36:E36"/>
  </mergeCells>
  <pageMargins left="0.75" right="0.75" top="1" bottom="1" header="0.511811023622047" footer="0.511811023622047"/>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OptimizarConfiguracionString">
                <anchor moveWithCells="1" sizeWithCells="1">
                  <from>
                    <xdr:col>7</xdr:col>
                    <xdr:colOff>152400</xdr:colOff>
                    <xdr:row>4</xdr:row>
                    <xdr:rowOff>152400</xdr:rowOff>
                  </from>
                  <to>
                    <xdr:col>10</xdr:col>
                    <xdr:colOff>514350</xdr:colOff>
                    <xdr:row>10</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47"/>
  <sheetViews>
    <sheetView showGridLines="0" zoomScaleNormal="100" workbookViewId="0">
      <selection activeCell="L38" sqref="L38"/>
    </sheetView>
  </sheetViews>
  <sheetFormatPr baseColWidth="10" defaultColWidth="8.7109375" defaultRowHeight="15" x14ac:dyDescent="0.25"/>
  <cols>
    <col min="1" max="1" width="29.28515625" style="1" customWidth="1"/>
    <col min="2" max="3" width="16" style="1" customWidth="1"/>
    <col min="4" max="4" width="46.5703125" style="1" customWidth="1"/>
    <col min="8" max="8" width="26.28515625" customWidth="1"/>
  </cols>
  <sheetData>
    <row r="1" spans="1:8" ht="15" customHeight="1" x14ac:dyDescent="0.25">
      <c r="A1" s="95" t="s">
        <v>295</v>
      </c>
      <c r="B1" s="95"/>
      <c r="C1" s="95"/>
      <c r="D1" s="95"/>
    </row>
    <row r="3" spans="1:8" ht="15" customHeight="1" x14ac:dyDescent="0.25">
      <c r="A3" s="91" t="s">
        <v>35</v>
      </c>
      <c r="B3" s="91"/>
      <c r="C3" s="91"/>
      <c r="D3" s="91"/>
    </row>
    <row r="4" spans="1:8" ht="15" customHeight="1" x14ac:dyDescent="0.25">
      <c r="A4" s="2" t="s">
        <v>36</v>
      </c>
      <c r="B4" s="2" t="s">
        <v>37</v>
      </c>
      <c r="C4" s="2" t="s">
        <v>38</v>
      </c>
      <c r="D4" s="2" t="s">
        <v>39</v>
      </c>
      <c r="E4">
        <v>200</v>
      </c>
    </row>
    <row r="5" spans="1:8" ht="15" customHeight="1" x14ac:dyDescent="0.25">
      <c r="A5" s="3" t="s">
        <v>224</v>
      </c>
      <c r="B5" s="11">
        <v>7</v>
      </c>
      <c r="C5" s="11">
        <v>8</v>
      </c>
      <c r="D5" s="3" t="s">
        <v>40</v>
      </c>
      <c r="E5" s="56">
        <v>200</v>
      </c>
    </row>
    <row r="6" spans="1:8" ht="15" customHeight="1" x14ac:dyDescent="0.25">
      <c r="A6" s="3" t="s">
        <v>41</v>
      </c>
      <c r="B6" s="12">
        <f>Datos_Tecnicos!$B$5*(1+Datos_Tecnicos!$B$10/100*(Datos_Tecnicos!$B$30-25))</f>
        <v>127.1708</v>
      </c>
      <c r="C6" s="12">
        <f>Datos_Tecnicos!$B$5*(1+Datos_Tecnicos!$B$10/100*(Datos_Tecnicos!$B$30-25))</f>
        <v>127.1708</v>
      </c>
      <c r="D6" s="3" t="s">
        <v>42</v>
      </c>
      <c r="E6" s="56">
        <v>200</v>
      </c>
    </row>
    <row r="7" spans="1:8" ht="15" customHeight="1" x14ac:dyDescent="0.25">
      <c r="A7" s="3" t="s">
        <v>43</v>
      </c>
      <c r="B7" s="13">
        <f>B5*B6</f>
        <v>890.19560000000001</v>
      </c>
      <c r="C7" s="13">
        <f>C5*C6</f>
        <v>1017.3664</v>
      </c>
      <c r="D7" s="3" t="s">
        <v>44</v>
      </c>
      <c r="E7" s="56">
        <v>200</v>
      </c>
    </row>
    <row r="8" spans="1:8" ht="15" customHeight="1" x14ac:dyDescent="0.25">
      <c r="A8" s="3" t="s">
        <v>224</v>
      </c>
      <c r="B8" s="14">
        <f>Datos_Tecnicos!$B$16/B7</f>
        <v>1.2356834834950881</v>
      </c>
      <c r="C8" s="14">
        <f>Datos_Tecnicos!$B$16/C7</f>
        <v>1.0812230480582021</v>
      </c>
      <c r="D8" s="3" t="s">
        <v>45</v>
      </c>
      <c r="E8" s="56">
        <v>200</v>
      </c>
    </row>
    <row r="9" spans="1:8" ht="15" customHeight="1" x14ac:dyDescent="0.25">
      <c r="A9" s="3" t="s">
        <v>224</v>
      </c>
      <c r="B9" s="15" t="str">
        <f>IF(B7&lt;=Datos_Tecnicos!$B$16,"SI","NO")</f>
        <v>SI</v>
      </c>
      <c r="C9" s="15" t="str">
        <f>IF(C7&lt;=Datos_Tecnicos!$B$16,"SI","NO")</f>
        <v>SI</v>
      </c>
      <c r="D9" s="3" t="s">
        <v>46</v>
      </c>
    </row>
    <row r="10" spans="1:8" x14ac:dyDescent="0.25">
      <c r="A10" s="1" t="s">
        <v>224</v>
      </c>
    </row>
    <row r="11" spans="1:8" ht="15" customHeight="1" x14ac:dyDescent="0.25">
      <c r="A11" s="91" t="s">
        <v>224</v>
      </c>
      <c r="B11" s="91"/>
      <c r="C11" s="91"/>
      <c r="D11" s="91"/>
    </row>
    <row r="12" spans="1:8" ht="15" customHeight="1" x14ac:dyDescent="0.25">
      <c r="A12" s="2" t="s">
        <v>224</v>
      </c>
      <c r="B12" s="2" t="s">
        <v>37</v>
      </c>
      <c r="C12" s="2" t="s">
        <v>38</v>
      </c>
      <c r="D12" s="2" t="s">
        <v>39</v>
      </c>
    </row>
    <row r="13" spans="1:8" ht="15" customHeight="1" x14ac:dyDescent="0.25">
      <c r="A13" s="3" t="s">
        <v>224</v>
      </c>
      <c r="B13" s="12">
        <f>Datos_Tecnicos!$B$6*(1+Datos_Tecnicos!$B$10/100*(Datos_Tecnicos!$B$31-25))</f>
        <v>83.251898013797828</v>
      </c>
      <c r="C13" s="12">
        <f>Datos_Tecnicos!$B$6*(1+Datos_Tecnicos!$B$10/100*(Datos_Tecnicos!$B$31-25))</f>
        <v>83.251898013797828</v>
      </c>
      <c r="D13" s="3" t="s">
        <v>47</v>
      </c>
    </row>
    <row r="14" spans="1:8" ht="15" customHeight="1" x14ac:dyDescent="0.25">
      <c r="A14" s="3" t="s">
        <v>224</v>
      </c>
      <c r="B14" s="13">
        <f>B5*B13</f>
        <v>582.76328609658481</v>
      </c>
      <c r="C14" s="13">
        <f>C5*C13</f>
        <v>666.01518411038262</v>
      </c>
      <c r="D14" s="3" t="s">
        <v>48</v>
      </c>
    </row>
    <row r="15" spans="1:8" ht="15" customHeight="1" x14ac:dyDescent="0.25">
      <c r="A15" s="3" t="s">
        <v>224</v>
      </c>
      <c r="B15" s="15" t="str">
        <f>IF(B14&gt;=Datos_Tecnicos!$B$20,"SI","NO")</f>
        <v>SI</v>
      </c>
      <c r="C15" s="15" t="str">
        <f>IF(C14&gt;=Datos_Tecnicos!$B$20,"SI","NO")</f>
        <v>SI</v>
      </c>
      <c r="D15" s="3" t="s">
        <v>49</v>
      </c>
    </row>
    <row r="16" spans="1:8" ht="15" customHeight="1" x14ac:dyDescent="0.25">
      <c r="A16" s="3" t="s">
        <v>224</v>
      </c>
      <c r="B16" s="12">
        <f>Datos_Tecnicos!$B$6*(1+Datos_Tecnicos!$B$10/100*(Datos_Tecnicos!$B$32-25))</f>
        <v>81.702014324526004</v>
      </c>
      <c r="C16" s="12">
        <f>Datos_Tecnicos!$B$6*(1+Datos_Tecnicos!$B$10/100*(Datos_Tecnicos!$B$32-25))</f>
        <v>81.702014324526004</v>
      </c>
      <c r="D16" s="3" t="s">
        <v>50</v>
      </c>
      <c r="H16" s="56"/>
    </row>
    <row r="17" spans="1:8" ht="15" customHeight="1" x14ac:dyDescent="0.25">
      <c r="A17" s="3" t="s">
        <v>224</v>
      </c>
      <c r="B17" s="13">
        <f>B5*B16</f>
        <v>571.91410027168206</v>
      </c>
      <c r="C17" s="13">
        <f>C5*C16</f>
        <v>653.61611459620804</v>
      </c>
      <c r="D17" s="3" t="s">
        <v>51</v>
      </c>
      <c r="H17" s="56"/>
    </row>
    <row r="18" spans="1:8" ht="15" customHeight="1" x14ac:dyDescent="0.25">
      <c r="A18" s="3" t="s">
        <v>224</v>
      </c>
      <c r="B18" s="15" t="str">
        <f>IF(B17&gt;=Datos_Tecnicos!$B$20,"SI","NO")</f>
        <v>NO</v>
      </c>
      <c r="C18" s="15" t="str">
        <f>IF(C17&gt;=Datos_Tecnicos!$B$20,"SI","NO")</f>
        <v>SI</v>
      </c>
      <c r="D18" s="3" t="s">
        <v>52</v>
      </c>
      <c r="H18" s="56"/>
    </row>
    <row r="19" spans="1:8" x14ac:dyDescent="0.25">
      <c r="A19" s="1" t="s">
        <v>224</v>
      </c>
      <c r="H19" s="56"/>
    </row>
    <row r="20" spans="1:8" ht="15" customHeight="1" x14ac:dyDescent="0.25">
      <c r="A20" s="91" t="s">
        <v>224</v>
      </c>
      <c r="B20" s="91"/>
      <c r="C20" s="91"/>
      <c r="D20" s="91"/>
      <c r="H20" s="56"/>
    </row>
    <row r="21" spans="1:8" ht="15" customHeight="1" x14ac:dyDescent="0.25">
      <c r="A21" s="2" t="s">
        <v>224</v>
      </c>
      <c r="B21" s="2" t="s">
        <v>37</v>
      </c>
      <c r="C21" s="2" t="s">
        <v>38</v>
      </c>
      <c r="D21" s="2" t="s">
        <v>39</v>
      </c>
      <c r="H21" s="56"/>
    </row>
    <row r="22" spans="1:8" ht="15" customHeight="1" x14ac:dyDescent="0.25">
      <c r="A22" s="3" t="s">
        <v>224</v>
      </c>
      <c r="B22" s="3">
        <f>ROUNDUP(Datos_Tecnicos!$B$34/B5,0)</f>
        <v>27</v>
      </c>
      <c r="C22" s="3">
        <f>ROUNDUP(Datos_Tecnicos!$B$34/C5,0)</f>
        <v>23</v>
      </c>
      <c r="D22" s="3" t="s">
        <v>53</v>
      </c>
      <c r="H22" s="56"/>
    </row>
    <row r="23" spans="1:8" ht="15" customHeight="1" x14ac:dyDescent="0.25">
      <c r="A23" s="3" t="s">
        <v>224</v>
      </c>
      <c r="B23" s="3">
        <f>B22*B5</f>
        <v>189</v>
      </c>
      <c r="C23" s="3">
        <f>C22*C5</f>
        <v>184</v>
      </c>
      <c r="D23" s="3" t="s">
        <v>54</v>
      </c>
      <c r="H23" s="56"/>
    </row>
    <row r="24" spans="1:8" ht="15" customHeight="1" x14ac:dyDescent="0.25">
      <c r="A24" s="3" t="s">
        <v>224</v>
      </c>
      <c r="B24" s="3">
        <f>ROUNDUP(B22/Datos_Tecnicos!$B$21,0)</f>
        <v>14</v>
      </c>
      <c r="C24" s="3">
        <f>ROUNDUP(C22/Datos_Tecnicos!$B$21,0)</f>
        <v>12</v>
      </c>
      <c r="D24" s="3" t="s">
        <v>55</v>
      </c>
    </row>
    <row r="25" spans="1:8" ht="15" customHeight="1" x14ac:dyDescent="0.25">
      <c r="A25" s="3" t="s">
        <v>224</v>
      </c>
      <c r="B25" s="12">
        <f>Datos_Tecnicos!$B$7*B24*Datos_Tecnicos!$B$33</f>
        <v>14.000000000000002</v>
      </c>
      <c r="C25" s="12">
        <f>Datos_Tecnicos!$B$7*C24*Datos_Tecnicos!$B$33</f>
        <v>12.000000000000002</v>
      </c>
      <c r="D25" s="3" t="s">
        <v>56</v>
      </c>
    </row>
    <row r="26" spans="1:8" ht="15" customHeight="1" x14ac:dyDescent="0.25">
      <c r="A26" s="3" t="s">
        <v>224</v>
      </c>
      <c r="B26" s="14">
        <f>Datos_Tecnicos!$B$23/B25</f>
        <v>1.9285714285714284</v>
      </c>
      <c r="C26" s="14">
        <f>Datos_Tecnicos!$B$23/C25</f>
        <v>2.2499999999999996</v>
      </c>
      <c r="D26" s="3" t="s">
        <v>57</v>
      </c>
    </row>
    <row r="27" spans="1:8" ht="15" customHeight="1" x14ac:dyDescent="0.25">
      <c r="A27" s="3" t="s">
        <v>224</v>
      </c>
      <c r="B27" s="14">
        <f>Datos_Tecnicos!$B$24/B25</f>
        <v>2.4142857142857137</v>
      </c>
      <c r="C27" s="14">
        <f>Datos_Tecnicos!$B$24/C25</f>
        <v>2.816666666666666</v>
      </c>
      <c r="D27" s="3" t="s">
        <v>58</v>
      </c>
    </row>
    <row r="28" spans="1:8" ht="15" customHeight="1" x14ac:dyDescent="0.25">
      <c r="A28" s="3" t="s">
        <v>224</v>
      </c>
      <c r="B28" s="15" t="str">
        <f>IF(B25&lt;=Datos_Tecnicos!$B$23,"SI","NO")</f>
        <v>SI</v>
      </c>
      <c r="C28" s="15" t="str">
        <f>IF(C25&lt;=Datos_Tecnicos!$B$23,"SI","NO")</f>
        <v>SI</v>
      </c>
      <c r="D28" s="3" t="s">
        <v>59</v>
      </c>
    </row>
    <row r="29" spans="1:8" x14ac:dyDescent="0.25">
      <c r="A29" s="1" t="s">
        <v>224</v>
      </c>
    </row>
    <row r="30" spans="1:8" ht="15" customHeight="1" x14ac:dyDescent="0.25">
      <c r="A30" s="91" t="s">
        <v>224</v>
      </c>
      <c r="B30" s="91"/>
      <c r="C30" s="91"/>
      <c r="D30" s="91"/>
    </row>
    <row r="31" spans="1:8" ht="15" customHeight="1" x14ac:dyDescent="0.25">
      <c r="A31" s="2" t="s">
        <v>224</v>
      </c>
      <c r="B31" s="2" t="s">
        <v>2</v>
      </c>
      <c r="C31" s="2"/>
      <c r="D31" s="2" t="s">
        <v>39</v>
      </c>
    </row>
    <row r="32" spans="1:8" ht="15" customHeight="1" x14ac:dyDescent="0.25">
      <c r="A32" s="3" t="s">
        <v>224</v>
      </c>
      <c r="B32" s="16">
        <f>Datos_Tecnicos!$B$34*Datos_Tecnicos!$B$9</f>
        <v>11592</v>
      </c>
      <c r="D32" s="3" t="s">
        <v>60</v>
      </c>
    </row>
    <row r="33" spans="1:11" ht="15" customHeight="1" x14ac:dyDescent="0.25">
      <c r="A33" s="3" t="s">
        <v>224</v>
      </c>
      <c r="B33" s="14">
        <f>B32/Datos_Tecnicos!$B$26</f>
        <v>0.77280000000000004</v>
      </c>
      <c r="D33" s="3" t="s">
        <v>61</v>
      </c>
      <c r="K33">
        <v>13</v>
      </c>
    </row>
    <row r="34" spans="1:11" ht="15" customHeight="1" x14ac:dyDescent="0.25">
      <c r="A34" s="3" t="s">
        <v>224</v>
      </c>
      <c r="B34" s="14">
        <f>Datos_Tecnicos!$B$25/B32</f>
        <v>1.9409937888198758</v>
      </c>
      <c r="D34" s="3" t="s">
        <v>62</v>
      </c>
      <c r="H34">
        <v>200</v>
      </c>
      <c r="K34">
        <v>26</v>
      </c>
    </row>
    <row r="35" spans="1:11" ht="15" customHeight="1" x14ac:dyDescent="0.25">
      <c r="A35" s="3" t="s">
        <v>224</v>
      </c>
      <c r="B35" s="15" t="str">
        <f>IF(B32&lt;=Datos_Tecnicos!$B$25,"SI","NO")</f>
        <v>SI</v>
      </c>
      <c r="D35" s="3" t="s">
        <v>63</v>
      </c>
      <c r="K35">
        <v>26</v>
      </c>
    </row>
    <row r="36" spans="1:11" x14ac:dyDescent="0.25">
      <c r="A36" s="1" t="s">
        <v>224</v>
      </c>
      <c r="K36">
        <v>26</v>
      </c>
    </row>
    <row r="37" spans="1:11" ht="15" customHeight="1" x14ac:dyDescent="0.25">
      <c r="A37" s="91" t="s">
        <v>64</v>
      </c>
      <c r="B37" s="91"/>
      <c r="C37" s="91"/>
      <c r="D37" s="91"/>
    </row>
    <row r="38" spans="1:11" ht="109.5" customHeight="1" x14ac:dyDescent="0.25">
      <c r="A38" s="94" t="s">
        <v>65</v>
      </c>
      <c r="B38" s="94"/>
      <c r="C38" s="94"/>
      <c r="D38" s="94"/>
    </row>
    <row r="40" spans="1:11" ht="15" customHeight="1" x14ac:dyDescent="0.25">
      <c r="A40" s="89" t="s">
        <v>66</v>
      </c>
      <c r="B40" s="89"/>
      <c r="C40" s="89"/>
    </row>
    <row r="41" spans="1:11" ht="15" customHeight="1" x14ac:dyDescent="0.25">
      <c r="A41" s="17" t="s">
        <v>67</v>
      </c>
      <c r="B41" s="17" t="s">
        <v>68</v>
      </c>
      <c r="C41" s="17" t="s">
        <v>69</v>
      </c>
    </row>
    <row r="42" spans="1:11" ht="15" customHeight="1" x14ac:dyDescent="0.25">
      <c r="A42" s="3" t="s">
        <v>70</v>
      </c>
      <c r="B42" s="18" t="str">
        <f>IF((B8-1)&lt;0,"FALLA",IF((B8-1)&lt;Datos_Tecnicos!$B$44/100,"ALERTA","OK"))</f>
        <v>OK</v>
      </c>
      <c r="C42" s="18" t="str">
        <f>IF((C8-1)&lt;0,"FALLA",IF((C8-1)&lt;Datos_Tecnicos!$B$44/100,"ALERTA","OK"))</f>
        <v>OK</v>
      </c>
    </row>
    <row r="43" spans="1:11" ht="15" customHeight="1" x14ac:dyDescent="0.25">
      <c r="A43" s="3" t="s">
        <v>71</v>
      </c>
      <c r="B43" s="18" t="str">
        <f>IF(((B14/Datos_Tecnicos!$B$20)-1)&lt;0,"FALLA",IF(((B14/Datos_Tecnicos!$B$20)-1)&lt;Datos_Tecnicos!$B$44/100,"ALERTA","OK"))</f>
        <v>ALERTA</v>
      </c>
      <c r="C43" s="18" t="str">
        <f>IF(((C14/Datos_Tecnicos!$B$20)-1)&lt;0,"FALLA",IF(((C14/Datos_Tecnicos!$B$20)-1)&lt;Datos_Tecnicos!$B$44/100,"ALERTA","OK"))</f>
        <v>OK</v>
      </c>
    </row>
    <row r="44" spans="1:11" ht="15" customHeight="1" x14ac:dyDescent="0.25">
      <c r="A44" s="3" t="s">
        <v>72</v>
      </c>
      <c r="B44" s="18" t="str">
        <f>IF(((B17/Datos_Tecnicos!$B$20)-1)&lt;0,"FALLA",IF(((B17/Datos_Tecnicos!$B$20)-1)&lt;Datos_Tecnicos!$B$44/100,"ALERTA","OK"))</f>
        <v>FALLA</v>
      </c>
      <c r="C44" s="18" t="str">
        <f>IF(((C17/Datos_Tecnicos!$B$20)-1)&lt;0,"FALLA",IF(((C17/Datos_Tecnicos!$B$20)-1)&lt;Datos_Tecnicos!$B$44/100,"ALERTA","OK"))</f>
        <v>OK</v>
      </c>
    </row>
    <row r="45" spans="1:11" ht="15" customHeight="1" x14ac:dyDescent="0.25">
      <c r="A45" s="3" t="s">
        <v>73</v>
      </c>
      <c r="B45" s="18" t="str">
        <f>IF((B26-1)&lt;0,"FALLA",IF((B26-1)&lt;Datos_Tecnicos!$B$44/100,"ALERTA","OK"))</f>
        <v>OK</v>
      </c>
      <c r="C45" s="18" t="str">
        <f>IF((C26-1)&lt;0,"FALLA",IF((C26-1)&lt;Datos_Tecnicos!$B$44/100,"ALERTA","OK"))</f>
        <v>OK</v>
      </c>
    </row>
    <row r="47" spans="1:11" ht="15" customHeight="1" x14ac:dyDescent="0.25">
      <c r="A47" s="17" t="s">
        <v>74</v>
      </c>
      <c r="B47" s="19">
        <f>COUNTIF(B42:B45,"FALLA")+COUNTIF(B42:B45,"ALERTA")</f>
        <v>2</v>
      </c>
      <c r="C47" s="19">
        <f>COUNTIF(C42:C45,"FALLA")+COUNTIF(C42:C45,"ALERTA")</f>
        <v>0</v>
      </c>
    </row>
  </sheetData>
  <mergeCells count="8">
    <mergeCell ref="A37:D37"/>
    <mergeCell ref="A38:D38"/>
    <mergeCell ref="A40:C40"/>
    <mergeCell ref="A1:D1"/>
    <mergeCell ref="A3:D3"/>
    <mergeCell ref="A11:D11"/>
    <mergeCell ref="A20:D20"/>
    <mergeCell ref="A30:D30"/>
  </mergeCells>
  <conditionalFormatting sqref="B9">
    <cfRule type="cellIs" dxfId="43" priority="2" operator="equal">
      <formula>"SI"</formula>
    </cfRule>
    <cfRule type="cellIs" dxfId="42" priority="3" operator="equal">
      <formula>"NO"</formula>
    </cfRule>
  </conditionalFormatting>
  <conditionalFormatting sqref="C9">
    <cfRule type="cellIs" dxfId="41" priority="4" operator="equal">
      <formula>"SI"</formula>
    </cfRule>
    <cfRule type="cellIs" dxfId="40" priority="5" operator="equal">
      <formula>"NO"</formula>
    </cfRule>
  </conditionalFormatting>
  <conditionalFormatting sqref="B15">
    <cfRule type="cellIs" dxfId="39" priority="6" operator="equal">
      <formula>"SI"</formula>
    </cfRule>
    <cfRule type="cellIs" dxfId="38" priority="7" operator="equal">
      <formula>"NO"</formula>
    </cfRule>
  </conditionalFormatting>
  <conditionalFormatting sqref="C15">
    <cfRule type="cellIs" dxfId="37" priority="8" operator="equal">
      <formula>"SI"</formula>
    </cfRule>
    <cfRule type="cellIs" dxfId="36" priority="9" operator="equal">
      <formula>"NO"</formula>
    </cfRule>
  </conditionalFormatting>
  <conditionalFormatting sqref="B18">
    <cfRule type="cellIs" dxfId="35" priority="10" operator="equal">
      <formula>"SI"</formula>
    </cfRule>
    <cfRule type="cellIs" dxfId="34" priority="11" operator="equal">
      <formula>"NO"</formula>
    </cfRule>
  </conditionalFormatting>
  <conditionalFormatting sqref="C18">
    <cfRule type="cellIs" dxfId="33" priority="12" operator="equal">
      <formula>"SI"</formula>
    </cfRule>
    <cfRule type="cellIs" dxfId="32" priority="13" operator="equal">
      <formula>"NO"</formula>
    </cfRule>
  </conditionalFormatting>
  <conditionalFormatting sqref="B28">
    <cfRule type="cellIs" dxfId="31" priority="14" operator="equal">
      <formula>"SI"</formula>
    </cfRule>
    <cfRule type="cellIs" dxfId="30" priority="15" operator="equal">
      <formula>"NO"</formula>
    </cfRule>
  </conditionalFormatting>
  <conditionalFormatting sqref="C28">
    <cfRule type="cellIs" dxfId="29" priority="16" operator="equal">
      <formula>"SI"</formula>
    </cfRule>
    <cfRule type="cellIs" dxfId="28" priority="17" operator="equal">
      <formula>"NO"</formula>
    </cfRule>
  </conditionalFormatting>
  <conditionalFormatting sqref="B35">
    <cfRule type="cellIs" dxfId="27" priority="18" operator="equal">
      <formula>"SI"</formula>
    </cfRule>
    <cfRule type="cellIs" dxfId="26" priority="19" operator="equal">
      <formula>"NO"</formula>
    </cfRule>
  </conditionalFormatting>
  <conditionalFormatting sqref="B42">
    <cfRule type="cellIs" dxfId="25" priority="20" operator="equal">
      <formula>"OK"</formula>
    </cfRule>
    <cfRule type="cellIs" dxfId="24" priority="21" operator="equal">
      <formula>"ALERTA"</formula>
    </cfRule>
    <cfRule type="cellIs" dxfId="23" priority="22" operator="equal">
      <formula>"FALLA"</formula>
    </cfRule>
  </conditionalFormatting>
  <conditionalFormatting sqref="C42">
    <cfRule type="cellIs" dxfId="22" priority="23" operator="equal">
      <formula>"OK"</formula>
    </cfRule>
    <cfRule type="cellIs" dxfId="21" priority="24" operator="equal">
      <formula>"ALERTA"</formula>
    </cfRule>
    <cfRule type="cellIs" dxfId="20" priority="25" operator="equal">
      <formula>"FALLA"</formula>
    </cfRule>
  </conditionalFormatting>
  <conditionalFormatting sqref="B43">
    <cfRule type="cellIs" dxfId="19" priority="26" operator="equal">
      <formula>"OK"</formula>
    </cfRule>
    <cfRule type="cellIs" dxfId="18" priority="27" operator="equal">
      <formula>"ALERTA"</formula>
    </cfRule>
    <cfRule type="cellIs" dxfId="17" priority="28" operator="equal">
      <formula>"FALLA"</formula>
    </cfRule>
  </conditionalFormatting>
  <conditionalFormatting sqref="C43">
    <cfRule type="cellIs" dxfId="16" priority="29" operator="equal">
      <formula>"OK"</formula>
    </cfRule>
    <cfRule type="cellIs" dxfId="15" priority="30" operator="equal">
      <formula>"ALERTA"</formula>
    </cfRule>
    <cfRule type="cellIs" dxfId="14" priority="31" operator="equal">
      <formula>"FALLA"</formula>
    </cfRule>
  </conditionalFormatting>
  <conditionalFormatting sqref="B44">
    <cfRule type="cellIs" dxfId="13" priority="32" operator="equal">
      <formula>"OK"</formula>
    </cfRule>
    <cfRule type="cellIs" dxfId="12" priority="33" operator="equal">
      <formula>"ALERTA"</formula>
    </cfRule>
    <cfRule type="cellIs" dxfId="11" priority="34" operator="equal">
      <formula>"FALLA"</formula>
    </cfRule>
  </conditionalFormatting>
  <conditionalFormatting sqref="C44">
    <cfRule type="cellIs" dxfId="10" priority="35" operator="equal">
      <formula>"OK"</formula>
    </cfRule>
    <cfRule type="cellIs" dxfId="9" priority="36" operator="equal">
      <formula>"ALERTA"</formula>
    </cfRule>
    <cfRule type="cellIs" dxfId="8" priority="37" operator="equal">
      <formula>"FALLA"</formula>
    </cfRule>
  </conditionalFormatting>
  <conditionalFormatting sqref="B45">
    <cfRule type="cellIs" dxfId="7" priority="38" operator="equal">
      <formula>"OK"</formula>
    </cfRule>
    <cfRule type="cellIs" dxfId="6" priority="39" operator="equal">
      <formula>"ALERTA"</formula>
    </cfRule>
    <cfRule type="cellIs" dxfId="5" priority="40" operator="equal">
      <formula>"FALLA"</formula>
    </cfRule>
  </conditionalFormatting>
  <conditionalFormatting sqref="C45">
    <cfRule type="cellIs" dxfId="4" priority="41" operator="equal">
      <formula>"OK"</formula>
    </cfRule>
    <cfRule type="cellIs" dxfId="3" priority="42" operator="equal">
      <formula>"ALERTA"</formula>
    </cfRule>
    <cfRule type="cellIs" dxfId="2" priority="43" operator="equal">
      <formula>"FALLA"</formula>
    </cfRule>
  </conditionalFormatting>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81FA6-C7BA-4F8E-83FE-4B41A0FF41CC}">
  <sheetPr codeName="Hoja6"/>
  <dimension ref="A1:K36"/>
  <sheetViews>
    <sheetView workbookViewId="0">
      <selection activeCell="L38" sqref="L38"/>
    </sheetView>
  </sheetViews>
  <sheetFormatPr baseColWidth="10" defaultRowHeight="15" x14ac:dyDescent="0.25"/>
  <cols>
    <col min="1" max="1" width="29.28515625" customWidth="1"/>
    <col min="2" max="2" width="12.7109375" customWidth="1"/>
    <col min="3" max="3" width="45.7109375" customWidth="1"/>
    <col min="4" max="4" width="22.140625" customWidth="1"/>
    <col min="8" max="8" width="26.28515625" customWidth="1"/>
  </cols>
  <sheetData>
    <row r="1" spans="1:8" ht="17.25" x14ac:dyDescent="0.3">
      <c r="A1" s="23" t="s">
        <v>295</v>
      </c>
    </row>
    <row r="2" spans="1:8" x14ac:dyDescent="0.25">
      <c r="A2" s="24" t="s">
        <v>139</v>
      </c>
    </row>
    <row r="4" spans="1:8" x14ac:dyDescent="0.25">
      <c r="A4" s="25" t="s">
        <v>140</v>
      </c>
      <c r="E4">
        <v>200</v>
      </c>
    </row>
    <row r="5" spans="1:8" x14ac:dyDescent="0.25">
      <c r="A5" s="22" t="s">
        <v>224</v>
      </c>
      <c r="B5" s="22" t="s">
        <v>80</v>
      </c>
      <c r="C5" s="22" t="s">
        <v>81</v>
      </c>
      <c r="E5" s="56">
        <v>200</v>
      </c>
    </row>
    <row r="6" spans="1:8" x14ac:dyDescent="0.25">
      <c r="A6" t="s">
        <v>82</v>
      </c>
      <c r="B6" s="26" t="s">
        <v>83</v>
      </c>
      <c r="C6" t="s">
        <v>84</v>
      </c>
      <c r="E6" s="56">
        <v>200</v>
      </c>
    </row>
    <row r="7" spans="1:8" x14ac:dyDescent="0.25">
      <c r="A7" t="s">
        <v>85</v>
      </c>
      <c r="B7" s="26" t="s">
        <v>83</v>
      </c>
      <c r="C7" t="s">
        <v>117</v>
      </c>
      <c r="E7" s="56">
        <v>200</v>
      </c>
    </row>
    <row r="8" spans="1:8" x14ac:dyDescent="0.25">
      <c r="A8" t="s">
        <v>224</v>
      </c>
      <c r="B8" s="26" t="s">
        <v>83</v>
      </c>
      <c r="C8" t="s">
        <v>118</v>
      </c>
      <c r="E8" s="56">
        <v>200</v>
      </c>
    </row>
    <row r="9" spans="1:8" x14ac:dyDescent="0.25">
      <c r="A9" t="s">
        <v>224</v>
      </c>
      <c r="B9" s="26" t="s">
        <v>83</v>
      </c>
      <c r="C9" t="s">
        <v>141</v>
      </c>
    </row>
    <row r="10" spans="1:8" x14ac:dyDescent="0.25">
      <c r="A10" t="s">
        <v>224</v>
      </c>
      <c r="B10" s="26" t="s">
        <v>83</v>
      </c>
      <c r="C10" t="s">
        <v>142</v>
      </c>
    </row>
    <row r="11" spans="1:8" x14ac:dyDescent="0.25">
      <c r="A11" t="s">
        <v>224</v>
      </c>
    </row>
    <row r="12" spans="1:8" ht="15.75" x14ac:dyDescent="0.25">
      <c r="A12" s="27" t="s">
        <v>224</v>
      </c>
    </row>
    <row r="13" spans="1:8" x14ac:dyDescent="0.25">
      <c r="A13" t="s">
        <v>224</v>
      </c>
    </row>
    <row r="14" spans="1:8" x14ac:dyDescent="0.25">
      <c r="A14" t="s">
        <v>224</v>
      </c>
    </row>
    <row r="15" spans="1:8" x14ac:dyDescent="0.25">
      <c r="A15" t="s">
        <v>224</v>
      </c>
    </row>
    <row r="16" spans="1:8" x14ac:dyDescent="0.25">
      <c r="A16" t="s">
        <v>224</v>
      </c>
      <c r="H16" s="56"/>
    </row>
    <row r="17" spans="1:8" x14ac:dyDescent="0.25">
      <c r="A17" t="s">
        <v>224</v>
      </c>
      <c r="H17" s="56"/>
    </row>
    <row r="18" spans="1:8" x14ac:dyDescent="0.25">
      <c r="A18" t="s">
        <v>224</v>
      </c>
      <c r="H18" s="56"/>
    </row>
    <row r="19" spans="1:8" x14ac:dyDescent="0.25">
      <c r="A19" t="s">
        <v>224</v>
      </c>
      <c r="H19" s="56"/>
    </row>
    <row r="20" spans="1:8" x14ac:dyDescent="0.25">
      <c r="A20" t="s">
        <v>224</v>
      </c>
      <c r="H20" s="56"/>
    </row>
    <row r="21" spans="1:8" x14ac:dyDescent="0.25">
      <c r="A21" t="s">
        <v>224</v>
      </c>
      <c r="H21" s="56"/>
    </row>
    <row r="22" spans="1:8" x14ac:dyDescent="0.25">
      <c r="A22" t="s">
        <v>224</v>
      </c>
      <c r="H22" s="56"/>
    </row>
    <row r="23" spans="1:8" x14ac:dyDescent="0.25">
      <c r="A23" t="s">
        <v>224</v>
      </c>
      <c r="H23" s="56"/>
    </row>
    <row r="24" spans="1:8" x14ac:dyDescent="0.25">
      <c r="A24" t="s">
        <v>224</v>
      </c>
    </row>
    <row r="25" spans="1:8" x14ac:dyDescent="0.25">
      <c r="A25" t="s">
        <v>224</v>
      </c>
    </row>
    <row r="26" spans="1:8" x14ac:dyDescent="0.25">
      <c r="A26" t="s">
        <v>224</v>
      </c>
    </row>
    <row r="27" spans="1:8" x14ac:dyDescent="0.25">
      <c r="A27" t="s">
        <v>224</v>
      </c>
    </row>
    <row r="28" spans="1:8" x14ac:dyDescent="0.25">
      <c r="A28" t="s">
        <v>224</v>
      </c>
    </row>
    <row r="29" spans="1:8" x14ac:dyDescent="0.25">
      <c r="A29" t="s">
        <v>224</v>
      </c>
    </row>
    <row r="30" spans="1:8" x14ac:dyDescent="0.25">
      <c r="A30" t="s">
        <v>224</v>
      </c>
    </row>
    <row r="31" spans="1:8" x14ac:dyDescent="0.25">
      <c r="A31" t="s">
        <v>224</v>
      </c>
    </row>
    <row r="32" spans="1:8" x14ac:dyDescent="0.25">
      <c r="A32" t="s">
        <v>224</v>
      </c>
    </row>
    <row r="33" spans="1:11" x14ac:dyDescent="0.25">
      <c r="A33" t="s">
        <v>224</v>
      </c>
      <c r="K33">
        <v>13</v>
      </c>
    </row>
    <row r="34" spans="1:11" x14ac:dyDescent="0.25">
      <c r="A34" t="s">
        <v>224</v>
      </c>
      <c r="H34">
        <v>200</v>
      </c>
      <c r="K34">
        <v>26</v>
      </c>
    </row>
    <row r="35" spans="1:11" x14ac:dyDescent="0.25">
      <c r="A35" t="s">
        <v>224</v>
      </c>
      <c r="K35">
        <v>26</v>
      </c>
    </row>
    <row r="36" spans="1:11" x14ac:dyDescent="0.25">
      <c r="A36" t="s">
        <v>224</v>
      </c>
      <c r="K36">
        <v>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2F7B8-FFAB-41A3-8902-AE0D1CA2DAA5}">
  <sheetPr codeName="Hoja9"/>
  <dimension ref="A1:M20"/>
  <sheetViews>
    <sheetView tabSelected="1" topLeftCell="B1" workbookViewId="0">
      <selection activeCell="L24" sqref="L24"/>
    </sheetView>
  </sheetViews>
  <sheetFormatPr baseColWidth="10" defaultRowHeight="15" x14ac:dyDescent="0.25"/>
  <cols>
    <col min="1" max="1" width="101.7109375" bestFit="1" customWidth="1"/>
    <col min="2" max="2" width="7.85546875" bestFit="1" customWidth="1"/>
    <col min="3" max="3" width="3.85546875" bestFit="1" customWidth="1"/>
    <col min="4" max="4" width="12.140625" bestFit="1" customWidth="1"/>
    <col min="5" max="5" width="3.85546875" bestFit="1" customWidth="1"/>
    <col min="6" max="6" width="13.140625" bestFit="1" customWidth="1"/>
    <col min="7" max="7" width="3.85546875" bestFit="1" customWidth="1"/>
    <col min="8" max="8" width="15.140625" bestFit="1" customWidth="1"/>
    <col min="9" max="9" width="10.5703125" bestFit="1" customWidth="1"/>
    <col min="10" max="10" width="55.7109375" customWidth="1"/>
    <col min="11" max="11" width="31.42578125" customWidth="1"/>
    <col min="12" max="12" width="39.42578125" customWidth="1"/>
    <col min="13" max="13" width="20.7109375" customWidth="1"/>
    <col min="14" max="14" width="18.28515625" customWidth="1"/>
    <col min="15" max="15" width="15.140625" bestFit="1" customWidth="1"/>
    <col min="16" max="16" width="10.5703125" bestFit="1" customWidth="1"/>
    <col min="17" max="17" width="55.7109375" customWidth="1"/>
  </cols>
  <sheetData>
    <row r="1" spans="1:13" ht="17.25" x14ac:dyDescent="0.3">
      <c r="A1" s="23" t="s">
        <v>462</v>
      </c>
      <c r="L1" s="65" t="s">
        <v>336</v>
      </c>
      <c r="M1" s="66"/>
    </row>
    <row r="2" spans="1:13" x14ac:dyDescent="0.25">
      <c r="A2" s="24" t="s">
        <v>96</v>
      </c>
      <c r="L2" s="66" t="s">
        <v>337</v>
      </c>
      <c r="M2" s="66" t="s">
        <v>749</v>
      </c>
    </row>
    <row r="3" spans="1:13" x14ac:dyDescent="0.25">
      <c r="A3" s="40" t="s">
        <v>126</v>
      </c>
      <c r="L3" s="66" t="s">
        <v>338</v>
      </c>
      <c r="M3" s="66">
        <v>116</v>
      </c>
    </row>
    <row r="4" spans="1:13" x14ac:dyDescent="0.25">
      <c r="L4" s="66" t="s">
        <v>339</v>
      </c>
      <c r="M4" s="66">
        <v>86.4</v>
      </c>
    </row>
    <row r="5" spans="1:13" x14ac:dyDescent="0.25">
      <c r="A5" s="30" t="s">
        <v>463</v>
      </c>
      <c r="B5" s="30" t="s">
        <v>87</v>
      </c>
      <c r="C5" s="30" t="s">
        <v>88</v>
      </c>
      <c r="D5" s="30" t="s">
        <v>89</v>
      </c>
      <c r="E5" s="30" t="s">
        <v>88</v>
      </c>
      <c r="F5" s="30" t="s">
        <v>90</v>
      </c>
      <c r="G5" s="30" t="s">
        <v>88</v>
      </c>
      <c r="H5" s="30" t="s">
        <v>91</v>
      </c>
      <c r="I5" s="30" t="s">
        <v>92</v>
      </c>
      <c r="J5" s="30" t="s">
        <v>97</v>
      </c>
      <c r="L5" s="66" t="s">
        <v>340</v>
      </c>
      <c r="M5" s="66">
        <v>-0.32100000000000001</v>
      </c>
    </row>
    <row r="6" spans="1:13" x14ac:dyDescent="0.25">
      <c r="A6" s="33">
        <v>6</v>
      </c>
      <c r="B6" s="33" t="s">
        <v>98</v>
      </c>
      <c r="C6" s="33" t="s">
        <v>83</v>
      </c>
      <c r="D6" s="33" t="s">
        <v>127</v>
      </c>
      <c r="E6" s="33" t="s">
        <v>99</v>
      </c>
      <c r="F6" s="33" t="s">
        <v>128</v>
      </c>
      <c r="G6" s="33" t="s">
        <v>99</v>
      </c>
      <c r="H6" s="33" t="s">
        <v>100</v>
      </c>
      <c r="I6" s="33" t="s">
        <v>101</v>
      </c>
      <c r="J6" s="33" t="s">
        <v>129</v>
      </c>
      <c r="L6" s="66" t="s">
        <v>341</v>
      </c>
      <c r="M6" s="66">
        <v>1100</v>
      </c>
    </row>
    <row r="7" spans="1:13" x14ac:dyDescent="0.25">
      <c r="A7" s="33">
        <v>7</v>
      </c>
      <c r="B7" s="33" t="s">
        <v>102</v>
      </c>
      <c r="C7" s="33" t="s">
        <v>83</v>
      </c>
      <c r="D7" s="33" t="s">
        <v>103</v>
      </c>
      <c r="E7" s="33" t="s">
        <v>83</v>
      </c>
      <c r="F7" s="33" t="s">
        <v>130</v>
      </c>
      <c r="G7" s="33" t="s">
        <v>99</v>
      </c>
      <c r="H7" s="33" t="s">
        <v>104</v>
      </c>
      <c r="I7" s="33" t="s">
        <v>101</v>
      </c>
      <c r="J7" s="33" t="s">
        <v>131</v>
      </c>
      <c r="L7" s="66" t="s">
        <v>342</v>
      </c>
      <c r="M7" s="66">
        <v>250</v>
      </c>
    </row>
    <row r="8" spans="1:13" x14ac:dyDescent="0.25">
      <c r="A8" s="31">
        <v>8</v>
      </c>
      <c r="B8" s="31" t="s">
        <v>93</v>
      </c>
      <c r="C8" s="31" t="s">
        <v>83</v>
      </c>
      <c r="D8" s="31" t="s">
        <v>132</v>
      </c>
      <c r="E8" s="31" t="s">
        <v>83</v>
      </c>
      <c r="F8" s="31" t="s">
        <v>133</v>
      </c>
      <c r="G8" s="31" t="s">
        <v>83</v>
      </c>
      <c r="H8" s="31" t="s">
        <v>94</v>
      </c>
      <c r="I8" s="32" t="s">
        <v>95</v>
      </c>
      <c r="J8" s="31" t="s">
        <v>134</v>
      </c>
      <c r="L8" s="66" t="s">
        <v>343</v>
      </c>
      <c r="M8" s="66">
        <v>1000</v>
      </c>
    </row>
    <row r="9" spans="1:13" x14ac:dyDescent="0.25">
      <c r="A9" s="33">
        <v>9</v>
      </c>
      <c r="B9" s="33" t="s">
        <v>105</v>
      </c>
      <c r="C9" s="33" t="s">
        <v>99</v>
      </c>
      <c r="D9" s="33" t="s">
        <v>135</v>
      </c>
      <c r="E9" s="33" t="s">
        <v>83</v>
      </c>
      <c r="F9" s="33" t="s">
        <v>136</v>
      </c>
      <c r="G9" s="33" t="s">
        <v>83</v>
      </c>
      <c r="H9" s="33" t="s">
        <v>106</v>
      </c>
      <c r="I9" s="33" t="s">
        <v>101</v>
      </c>
      <c r="J9" s="33" t="s">
        <v>107</v>
      </c>
      <c r="L9" s="66" t="s">
        <v>344</v>
      </c>
      <c r="M9" s="66">
        <v>580</v>
      </c>
    </row>
    <row r="10" spans="1:13" x14ac:dyDescent="0.25">
      <c r="A10" s="33">
        <v>10</v>
      </c>
      <c r="B10" s="33" t="s">
        <v>108</v>
      </c>
      <c r="C10" s="33" t="s">
        <v>99</v>
      </c>
      <c r="D10" s="33" t="s">
        <v>137</v>
      </c>
      <c r="E10" s="33" t="s">
        <v>83</v>
      </c>
      <c r="F10" s="33" t="s">
        <v>138</v>
      </c>
      <c r="G10" s="33" t="s">
        <v>83</v>
      </c>
      <c r="H10" s="33" t="s">
        <v>109</v>
      </c>
      <c r="I10" s="33" t="s">
        <v>101</v>
      </c>
      <c r="J10" s="33" t="s">
        <v>110</v>
      </c>
      <c r="L10" s="66" t="s">
        <v>345</v>
      </c>
      <c r="M10" s="66">
        <v>-5</v>
      </c>
    </row>
    <row r="11" spans="1:13" x14ac:dyDescent="0.25">
      <c r="L11" s="66" t="s">
        <v>346</v>
      </c>
      <c r="M11" s="66">
        <v>36.350892704374992</v>
      </c>
    </row>
    <row r="12" spans="1:13" x14ac:dyDescent="0.25">
      <c r="L12" s="66" t="s">
        <v>347</v>
      </c>
      <c r="M12" s="66">
        <v>41.939200687499998</v>
      </c>
    </row>
    <row r="13" spans="1:13" x14ac:dyDescent="0.25">
      <c r="L13" s="66" t="s">
        <v>348</v>
      </c>
      <c r="M13" s="67">
        <v>8</v>
      </c>
    </row>
    <row r="14" spans="1:13" x14ac:dyDescent="0.25">
      <c r="L14" s="66" t="s">
        <v>349</v>
      </c>
      <c r="M14" s="66" t="s">
        <v>94</v>
      </c>
    </row>
    <row r="15" spans="1:13" x14ac:dyDescent="0.25">
      <c r="L15" s="85" t="s">
        <v>743</v>
      </c>
      <c r="M15" s="66"/>
    </row>
    <row r="16" spans="1:13" x14ac:dyDescent="0.25">
      <c r="L16" s="66" t="s">
        <v>744</v>
      </c>
      <c r="M16" s="67">
        <v>8</v>
      </c>
    </row>
    <row r="17" spans="12:13" x14ac:dyDescent="0.25">
      <c r="L17" s="66" t="s">
        <v>745</v>
      </c>
      <c r="M17" s="67">
        <v>8</v>
      </c>
    </row>
    <row r="18" spans="12:13" x14ac:dyDescent="0.25">
      <c r="L18" s="66" t="s">
        <v>746</v>
      </c>
      <c r="M18" s="66"/>
    </row>
    <row r="19" spans="12:13" x14ac:dyDescent="0.25">
      <c r="L19" s="66" t="s">
        <v>747</v>
      </c>
      <c r="M19" s="66"/>
    </row>
    <row r="20" spans="12:13" x14ac:dyDescent="0.25">
      <c r="L20" s="66" t="s">
        <v>748</v>
      </c>
      <c r="M20" s="86" t="s">
        <v>750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C6172-FF45-4981-8260-80DF3B73D5DF}">
  <sheetPr codeName="Hoja4"/>
  <dimension ref="A1:M36"/>
  <sheetViews>
    <sheetView topLeftCell="A13" workbookViewId="0">
      <selection activeCell="L38" sqref="L38"/>
    </sheetView>
  </sheetViews>
  <sheetFormatPr baseColWidth="10" defaultRowHeight="15" x14ac:dyDescent="0.25"/>
  <cols>
    <col min="1" max="1" width="29.28515625" customWidth="1"/>
    <col min="2" max="2" width="58.85546875" bestFit="1" customWidth="1"/>
    <col min="3" max="3" width="92.140625" bestFit="1" customWidth="1"/>
    <col min="4" max="4" width="22.140625" customWidth="1"/>
    <col min="5" max="5" width="15.7109375" bestFit="1" customWidth="1"/>
    <col min="6" max="6" width="17.28515625" bestFit="1" customWidth="1"/>
    <col min="7" max="7" width="15.7109375" bestFit="1" customWidth="1"/>
    <col min="8" max="8" width="26.28515625" customWidth="1"/>
    <col min="9" max="9" width="14.7109375" bestFit="1" customWidth="1"/>
    <col min="10" max="10" width="17" bestFit="1" customWidth="1"/>
    <col min="11" max="11" width="17.42578125" bestFit="1" customWidth="1"/>
    <col min="12" max="12" width="11.7109375" bestFit="1" customWidth="1"/>
    <col min="13" max="13" width="11.28515625" bestFit="1" customWidth="1"/>
  </cols>
  <sheetData>
    <row r="1" spans="1:8" ht="17.25" x14ac:dyDescent="0.3">
      <c r="A1" s="23" t="s">
        <v>295</v>
      </c>
    </row>
    <row r="2" spans="1:8" x14ac:dyDescent="0.25">
      <c r="A2" s="41" t="s">
        <v>143</v>
      </c>
    </row>
    <row r="3" spans="1:8" x14ac:dyDescent="0.25">
      <c r="A3" s="24" t="s">
        <v>352</v>
      </c>
    </row>
    <row r="4" spans="1:8" x14ac:dyDescent="0.25">
      <c r="E4">
        <v>200</v>
      </c>
    </row>
    <row r="5" spans="1:8" x14ac:dyDescent="0.25">
      <c r="A5" s="22" t="s">
        <v>224</v>
      </c>
      <c r="E5" s="56">
        <v>200</v>
      </c>
    </row>
    <row r="6" spans="1:8" x14ac:dyDescent="0.25">
      <c r="A6" t="s">
        <v>144</v>
      </c>
      <c r="B6" t="s">
        <v>145</v>
      </c>
      <c r="E6" s="56">
        <v>200</v>
      </c>
    </row>
    <row r="7" spans="1:8" x14ac:dyDescent="0.25">
      <c r="A7" t="s">
        <v>151</v>
      </c>
      <c r="B7" t="s">
        <v>146</v>
      </c>
      <c r="E7" s="56">
        <v>200</v>
      </c>
    </row>
    <row r="8" spans="1:8" x14ac:dyDescent="0.25">
      <c r="A8" t="s">
        <v>224</v>
      </c>
      <c r="B8">
        <v>154</v>
      </c>
      <c r="C8" t="s">
        <v>152</v>
      </c>
      <c r="E8" s="56">
        <v>200</v>
      </c>
    </row>
    <row r="9" spans="1:8" x14ac:dyDescent="0.25">
      <c r="A9" t="s">
        <v>224</v>
      </c>
      <c r="B9" t="s">
        <v>170</v>
      </c>
    </row>
    <row r="10" spans="1:8" x14ac:dyDescent="0.25">
      <c r="A10" t="s">
        <v>224</v>
      </c>
      <c r="B10" t="s">
        <v>148</v>
      </c>
    </row>
    <row r="11" spans="1:8" x14ac:dyDescent="0.25">
      <c r="A11" t="s">
        <v>224</v>
      </c>
      <c r="B11" t="s">
        <v>171</v>
      </c>
      <c r="C11" t="s">
        <v>181</v>
      </c>
    </row>
    <row r="12" spans="1:8" x14ac:dyDescent="0.25">
      <c r="A12" t="s">
        <v>224</v>
      </c>
      <c r="B12">
        <v>8</v>
      </c>
      <c r="C12" t="s">
        <v>149</v>
      </c>
    </row>
    <row r="13" spans="1:8" x14ac:dyDescent="0.25">
      <c r="A13" t="s">
        <v>224</v>
      </c>
      <c r="B13" t="s">
        <v>182</v>
      </c>
      <c r="C13" t="s">
        <v>183</v>
      </c>
    </row>
    <row r="14" spans="1:8" x14ac:dyDescent="0.25">
      <c r="A14" t="s">
        <v>224</v>
      </c>
      <c r="B14" t="s">
        <v>184</v>
      </c>
      <c r="C14" t="s">
        <v>185</v>
      </c>
    </row>
    <row r="15" spans="1:8" x14ac:dyDescent="0.25">
      <c r="A15" t="s">
        <v>224</v>
      </c>
      <c r="B15" t="s">
        <v>186</v>
      </c>
      <c r="C15" t="s">
        <v>187</v>
      </c>
    </row>
    <row r="16" spans="1:8" x14ac:dyDescent="0.25">
      <c r="A16" t="s">
        <v>224</v>
      </c>
      <c r="H16" s="56"/>
    </row>
    <row r="17" spans="1:13" x14ac:dyDescent="0.25">
      <c r="A17" s="22" t="s">
        <v>224</v>
      </c>
      <c r="H17" s="56"/>
    </row>
    <row r="18" spans="1:13" x14ac:dyDescent="0.25">
      <c r="A18" s="30" t="s">
        <v>224</v>
      </c>
      <c r="B18" s="30" t="s">
        <v>153</v>
      </c>
      <c r="C18" s="30" t="s">
        <v>188</v>
      </c>
      <c r="D18" s="30" t="s">
        <v>189</v>
      </c>
      <c r="E18" s="30" t="s">
        <v>154</v>
      </c>
      <c r="F18" s="30" t="s">
        <v>155</v>
      </c>
      <c r="G18" s="30" t="s">
        <v>156</v>
      </c>
      <c r="H18" s="56"/>
      <c r="I18" s="30" t="s">
        <v>158</v>
      </c>
      <c r="J18" s="30" t="s">
        <v>159</v>
      </c>
      <c r="K18" s="30" t="s">
        <v>160</v>
      </c>
      <c r="L18" s="30" t="s">
        <v>161</v>
      </c>
      <c r="M18" s="30" t="s">
        <v>162</v>
      </c>
    </row>
    <row r="19" spans="1:13" x14ac:dyDescent="0.25">
      <c r="A19" s="42" t="s">
        <v>224</v>
      </c>
      <c r="B19" s="43">
        <v>900</v>
      </c>
      <c r="C19" s="44">
        <v>58.931249999999991</v>
      </c>
      <c r="D19" s="44">
        <v>55.038124999999994</v>
      </c>
      <c r="E19" s="44">
        <v>561.60555313767554</v>
      </c>
      <c r="F19" s="45">
        <v>400.25239299637832</v>
      </c>
      <c r="G19" s="44">
        <v>584.41805094731671</v>
      </c>
      <c r="H19" s="56"/>
      <c r="I19" s="45">
        <v>778.54880603546212</v>
      </c>
      <c r="J19" s="44">
        <v>572.35703477330048</v>
      </c>
      <c r="K19" s="45">
        <v>776.88471618781386</v>
      </c>
      <c r="L19" s="46">
        <v>1.6640898476482562</v>
      </c>
      <c r="M19" s="47">
        <v>0.21374252130989185</v>
      </c>
    </row>
    <row r="20" spans="1:13" x14ac:dyDescent="0.25">
      <c r="A20" s="42" t="s">
        <v>224</v>
      </c>
      <c r="B20" s="43">
        <v>700</v>
      </c>
      <c r="C20" s="44">
        <v>58.931249999999991</v>
      </c>
      <c r="D20" s="44">
        <v>47.251874999999998</v>
      </c>
      <c r="E20" s="44">
        <v>561.60555313767554</v>
      </c>
      <c r="F20" s="45">
        <v>400.25239299637832</v>
      </c>
      <c r="G20" s="44">
        <v>630.84633317745102</v>
      </c>
      <c r="H20" s="56"/>
      <c r="I20" s="45">
        <v>722.84814561168264</v>
      </c>
      <c r="J20" s="44">
        <v>586.33161275386203</v>
      </c>
      <c r="K20" s="45">
        <v>709.73558317697325</v>
      </c>
      <c r="L20" s="52">
        <v>13.112562434709389</v>
      </c>
      <c r="M20" s="53">
        <v>1.8140134292816625</v>
      </c>
    </row>
    <row r="21" spans="1:13" x14ac:dyDescent="0.25">
      <c r="A21" s="42" t="s">
        <v>224</v>
      </c>
      <c r="B21" s="43">
        <v>500</v>
      </c>
      <c r="C21" s="44">
        <v>58.931249999999991</v>
      </c>
      <c r="D21" s="44">
        <v>39.465624999999996</v>
      </c>
      <c r="E21" s="44">
        <v>561.60555313767554</v>
      </c>
      <c r="F21" s="45">
        <v>400.25239299637832</v>
      </c>
      <c r="G21" s="44">
        <v>676.36737605381836</v>
      </c>
      <c r="H21" s="56"/>
      <c r="I21" s="45">
        <v>650.06195794895791</v>
      </c>
      <c r="J21" s="44">
        <v>586.14990165404151</v>
      </c>
      <c r="K21" s="45">
        <v>624.62636161842113</v>
      </c>
      <c r="L21" s="52">
        <v>25.435596330536782</v>
      </c>
      <c r="M21" s="53">
        <v>3.9127956988576704</v>
      </c>
    </row>
    <row r="22" spans="1:13" x14ac:dyDescent="0.25">
      <c r="A22" s="42" t="s">
        <v>224</v>
      </c>
      <c r="B22" s="43">
        <v>300</v>
      </c>
      <c r="C22" s="44">
        <v>58.931249999999991</v>
      </c>
      <c r="D22" s="44">
        <v>31.679375</v>
      </c>
      <c r="E22" s="44">
        <v>561.60555313767554</v>
      </c>
      <c r="F22" s="45">
        <v>400.25239299637832</v>
      </c>
      <c r="G22" s="44">
        <v>719.03209597061982</v>
      </c>
      <c r="H22" s="56"/>
      <c r="I22" s="45">
        <v>559.61827740495914</v>
      </c>
      <c r="J22" s="44">
        <v>577.67195837852512</v>
      </c>
      <c r="K22" s="45">
        <v>533.84186967430708</v>
      </c>
      <c r="L22" s="52">
        <v>25.776407730652068</v>
      </c>
      <c r="M22" s="53">
        <v>4.6060696677352029</v>
      </c>
    </row>
    <row r="23" spans="1:13" x14ac:dyDescent="0.25">
      <c r="A23" t="s">
        <v>224</v>
      </c>
      <c r="H23" s="56"/>
    </row>
    <row r="24" spans="1:13" x14ac:dyDescent="0.25">
      <c r="A24" s="22" t="s">
        <v>224</v>
      </c>
    </row>
    <row r="25" spans="1:13" x14ac:dyDescent="0.25">
      <c r="A25" s="24" t="s">
        <v>224</v>
      </c>
    </row>
    <row r="26" spans="1:13" x14ac:dyDescent="0.25">
      <c r="A26" t="s">
        <v>224</v>
      </c>
    </row>
    <row r="27" spans="1:13" x14ac:dyDescent="0.25">
      <c r="A27" t="s">
        <v>224</v>
      </c>
    </row>
    <row r="28" spans="1:13" x14ac:dyDescent="0.25">
      <c r="A28" t="s">
        <v>224</v>
      </c>
    </row>
    <row r="29" spans="1:13" x14ac:dyDescent="0.25">
      <c r="A29" t="s">
        <v>224</v>
      </c>
    </row>
    <row r="30" spans="1:13" x14ac:dyDescent="0.25">
      <c r="A30" t="s">
        <v>224</v>
      </c>
    </row>
    <row r="31" spans="1:13" x14ac:dyDescent="0.25">
      <c r="A31" t="s">
        <v>224</v>
      </c>
    </row>
    <row r="32" spans="1:13" x14ac:dyDescent="0.25">
      <c r="A32" t="s">
        <v>224</v>
      </c>
    </row>
    <row r="33" spans="1:11" x14ac:dyDescent="0.25">
      <c r="A33" t="s">
        <v>224</v>
      </c>
      <c r="K33">
        <v>13</v>
      </c>
    </row>
    <row r="34" spans="1:11" x14ac:dyDescent="0.25">
      <c r="A34" t="s">
        <v>224</v>
      </c>
      <c r="H34">
        <v>200</v>
      </c>
      <c r="K34">
        <v>26</v>
      </c>
    </row>
    <row r="35" spans="1:11" x14ac:dyDescent="0.25">
      <c r="A35" t="s">
        <v>224</v>
      </c>
      <c r="K35">
        <v>26</v>
      </c>
    </row>
    <row r="36" spans="1:11" x14ac:dyDescent="0.25">
      <c r="A36" t="s">
        <v>224</v>
      </c>
      <c r="K36">
        <v>26</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FBFD-5C9C-4CCF-ACCA-83AC952ACC5A}">
  <sheetPr codeName="Hoja5"/>
  <dimension ref="A1:K54"/>
  <sheetViews>
    <sheetView topLeftCell="A7" workbookViewId="0">
      <selection activeCell="L38" sqref="L38"/>
    </sheetView>
  </sheetViews>
  <sheetFormatPr baseColWidth="10" defaultRowHeight="15" x14ac:dyDescent="0.25"/>
  <cols>
    <col min="1" max="1" width="29.28515625" customWidth="1"/>
    <col min="2" max="2" width="84.5703125" bestFit="1" customWidth="1"/>
    <col min="3" max="3" width="6.5703125" bestFit="1" customWidth="1"/>
    <col min="4" max="4" width="22.140625" customWidth="1"/>
    <col min="5" max="5" width="7.5703125" bestFit="1" customWidth="1"/>
    <col min="6" max="6" width="9.7109375" bestFit="1" customWidth="1"/>
    <col min="7" max="7" width="7.140625" bestFit="1" customWidth="1"/>
    <col min="8" max="8" width="26.28515625" customWidth="1"/>
  </cols>
  <sheetData>
    <row r="1" spans="1:8" ht="17.25" x14ac:dyDescent="0.3">
      <c r="A1" s="23" t="s">
        <v>295</v>
      </c>
    </row>
    <row r="2" spans="1:8" x14ac:dyDescent="0.25">
      <c r="A2" s="24" t="s">
        <v>172</v>
      </c>
    </row>
    <row r="4" spans="1:8" x14ac:dyDescent="0.25">
      <c r="A4" s="22" t="s">
        <v>173</v>
      </c>
      <c r="E4">
        <v>200</v>
      </c>
    </row>
    <row r="5" spans="1:8" x14ac:dyDescent="0.25">
      <c r="A5" t="s">
        <v>224</v>
      </c>
      <c r="B5" t="s">
        <v>145</v>
      </c>
      <c r="E5" s="56">
        <v>200</v>
      </c>
    </row>
    <row r="6" spans="1:8" x14ac:dyDescent="0.25">
      <c r="A6" t="s">
        <v>174</v>
      </c>
      <c r="B6" t="s">
        <v>170</v>
      </c>
      <c r="E6" s="56">
        <v>200</v>
      </c>
    </row>
    <row r="7" spans="1:8" x14ac:dyDescent="0.25">
      <c r="A7" t="s">
        <v>175</v>
      </c>
      <c r="B7" t="s">
        <v>176</v>
      </c>
      <c r="E7" s="56">
        <v>200</v>
      </c>
    </row>
    <row r="8" spans="1:8" x14ac:dyDescent="0.25">
      <c r="A8" t="s">
        <v>224</v>
      </c>
      <c r="B8" t="s">
        <v>150</v>
      </c>
      <c r="E8" s="56">
        <v>200</v>
      </c>
    </row>
    <row r="9" spans="1:8" x14ac:dyDescent="0.25">
      <c r="A9" t="s">
        <v>224</v>
      </c>
    </row>
    <row r="10" spans="1:8" x14ac:dyDescent="0.25">
      <c r="A10" s="22" t="s">
        <v>224</v>
      </c>
    </row>
    <row r="11" spans="1:8" x14ac:dyDescent="0.25">
      <c r="A11" s="30" t="s">
        <v>224</v>
      </c>
      <c r="B11" s="30" t="s">
        <v>165</v>
      </c>
      <c r="C11" s="30" t="s">
        <v>166</v>
      </c>
      <c r="D11" s="30" t="s">
        <v>167</v>
      </c>
      <c r="E11" s="30" t="s">
        <v>168</v>
      </c>
      <c r="F11" s="30" t="s">
        <v>169</v>
      </c>
      <c r="G11" s="30" t="s">
        <v>177</v>
      </c>
    </row>
    <row r="12" spans="1:8" x14ac:dyDescent="0.25">
      <c r="A12" s="43" t="s">
        <v>224</v>
      </c>
      <c r="B12" s="45">
        <v>104.59102592479076</v>
      </c>
      <c r="C12" s="49">
        <v>4.0686571211035631E-2</v>
      </c>
      <c r="D12" s="45">
        <v>89.899072076425171</v>
      </c>
      <c r="E12" s="49">
        <v>3.3014671054772328E-2</v>
      </c>
      <c r="F12" s="50">
        <v>2.9679882927324455</v>
      </c>
      <c r="G12" s="51">
        <v>0.69745576526012243</v>
      </c>
    </row>
    <row r="13" spans="1:8" x14ac:dyDescent="0.25">
      <c r="A13" s="43" t="s">
        <v>224</v>
      </c>
      <c r="B13" s="45">
        <v>106.19531235791069</v>
      </c>
      <c r="C13" s="49">
        <v>6.1021547957609168E-2</v>
      </c>
      <c r="D13" s="45">
        <v>90.710346191050689</v>
      </c>
      <c r="E13" s="49">
        <v>5.2329052168640394E-2</v>
      </c>
      <c r="F13" s="50">
        <v>4.7467864380669216</v>
      </c>
      <c r="G13" s="51">
        <v>0.73250589791450305</v>
      </c>
    </row>
    <row r="14" spans="1:8" x14ac:dyDescent="0.25">
      <c r="A14" s="43" t="s">
        <v>224</v>
      </c>
      <c r="B14" s="45">
        <v>107.33357169677123</v>
      </c>
      <c r="C14" s="49">
        <v>8.1350204052999114E-2</v>
      </c>
      <c r="D14" s="45">
        <v>91.942680558749828</v>
      </c>
      <c r="E14" s="49">
        <v>7.1114788051361094E-2</v>
      </c>
      <c r="F14" s="50">
        <v>6.5384842408094919</v>
      </c>
      <c r="G14" s="51">
        <v>0.74882934177870197</v>
      </c>
    </row>
    <row r="15" spans="1:8" x14ac:dyDescent="0.25">
      <c r="A15" s="43" t="s">
        <v>224</v>
      </c>
      <c r="B15" s="45">
        <v>108.21647423228629</v>
      </c>
      <c r="C15" s="49">
        <v>0.10167189305066461</v>
      </c>
      <c r="D15" s="45">
        <v>92.48690365016401</v>
      </c>
      <c r="E15" s="49">
        <v>9.0047733539182495E-2</v>
      </c>
      <c r="F15" s="50">
        <v>8.3282360557540134</v>
      </c>
      <c r="G15" s="51">
        <v>0.7569352599974053</v>
      </c>
    </row>
    <row r="16" spans="1:8" x14ac:dyDescent="0.25">
      <c r="A16" s="43" t="s">
        <v>224</v>
      </c>
      <c r="B16" s="45">
        <v>108.93785812989114</v>
      </c>
      <c r="C16" s="49">
        <v>0.12198591636742159</v>
      </c>
      <c r="D16" s="45">
        <v>93.054521977969756</v>
      </c>
      <c r="E16" s="49">
        <v>0.10867643158128598</v>
      </c>
      <c r="F16" s="50">
        <v>10.112833391068103</v>
      </c>
      <c r="G16" s="51">
        <v>0.76099942235911533</v>
      </c>
      <c r="H16" s="56"/>
    </row>
    <row r="17" spans="1:8" x14ac:dyDescent="0.25">
      <c r="A17" s="43" t="s">
        <v>224</v>
      </c>
      <c r="B17" s="45">
        <v>109.54777952474794</v>
      </c>
      <c r="C17" s="49">
        <v>0.14229152148975135</v>
      </c>
      <c r="D17" s="45">
        <v>93.134136126531388</v>
      </c>
      <c r="E17" s="49">
        <v>0.12764650015258963</v>
      </c>
      <c r="F17" s="50">
        <v>11.888246521286593</v>
      </c>
      <c r="G17" s="51">
        <v>0.76266742988351455</v>
      </c>
      <c r="H17" s="56"/>
    </row>
    <row r="18" spans="1:8" x14ac:dyDescent="0.25">
      <c r="A18" s="43" t="s">
        <v>224</v>
      </c>
      <c r="B18" s="45">
        <v>110.0761174687517</v>
      </c>
      <c r="C18" s="49">
        <v>0.16258789946263186</v>
      </c>
      <c r="D18" s="45">
        <v>93.22121916311346</v>
      </c>
      <c r="E18" s="49">
        <v>0.1464526071928941</v>
      </c>
      <c r="F18" s="50">
        <v>13.652490592138149</v>
      </c>
      <c r="G18" s="51">
        <v>0.76283491523567559</v>
      </c>
      <c r="H18" s="56"/>
    </row>
    <row r="19" spans="1:8" x14ac:dyDescent="0.25">
      <c r="A19" s="43" t="s">
        <v>224</v>
      </c>
      <c r="B19" s="45">
        <v>110.54214456301108</v>
      </c>
      <c r="C19" s="49">
        <v>0.18287418267731748</v>
      </c>
      <c r="D19" s="45">
        <v>93.250708400560512</v>
      </c>
      <c r="E19" s="49">
        <v>0.16518780764143104</v>
      </c>
      <c r="F19" s="50">
        <v>15.403880081698967</v>
      </c>
      <c r="G19" s="51">
        <v>0.76199100561994093</v>
      </c>
      <c r="H19" s="56"/>
    </row>
    <row r="20" spans="1:8" x14ac:dyDescent="0.25">
      <c r="A20" s="43" t="s">
        <v>224</v>
      </c>
      <c r="B20" s="45">
        <v>110.95902000426676</v>
      </c>
      <c r="C20" s="49">
        <v>0.2031494437751945</v>
      </c>
      <c r="D20" s="45">
        <v>93.26181737388842</v>
      </c>
      <c r="E20" s="49">
        <v>0.18379592649755649</v>
      </c>
      <c r="F20" s="50">
        <v>17.141142131079732</v>
      </c>
      <c r="G20" s="51">
        <v>0.76043396424845955</v>
      </c>
      <c r="H20" s="56"/>
    </row>
    <row r="21" spans="1:8" x14ac:dyDescent="0.25">
      <c r="A21" s="43" t="s">
        <v>224</v>
      </c>
      <c r="B21" s="45">
        <v>111.33612971195956</v>
      </c>
      <c r="C21" s="49">
        <v>0.22341269307682238</v>
      </c>
      <c r="D21" s="45">
        <v>93.2081462118785</v>
      </c>
      <c r="E21" s="49">
        <v>0.20237536436058834</v>
      </c>
      <c r="F21" s="50">
        <v>18.863032551003904</v>
      </c>
      <c r="G21" s="51">
        <v>0.75834626178602638</v>
      </c>
      <c r="H21" s="56"/>
    </row>
    <row r="22" spans="1:8" x14ac:dyDescent="0.25">
      <c r="A22" s="43" t="s">
        <v>224</v>
      </c>
      <c r="B22" s="45">
        <v>111.68040390187163</v>
      </c>
      <c r="C22" s="49">
        <v>0.24366287900046213</v>
      </c>
      <c r="D22" s="45">
        <v>93.075597862767665</v>
      </c>
      <c r="E22" s="49">
        <v>0.22098783828058377</v>
      </c>
      <c r="F22" s="50">
        <v>20.56857516836595</v>
      </c>
      <c r="G22" s="51">
        <v>0.7558539046296926</v>
      </c>
      <c r="H22" s="56"/>
    </row>
    <row r="23" spans="1:8" x14ac:dyDescent="0.25">
      <c r="A23" s="43" t="s">
        <v>224</v>
      </c>
      <c r="B23" s="45">
        <v>111.99710545626674</v>
      </c>
      <c r="C23" s="49">
        <v>0.26389888688621133</v>
      </c>
      <c r="D23" s="45">
        <v>93.047181810539769</v>
      </c>
      <c r="E23" s="49">
        <v>0.2392058622739463</v>
      </c>
      <c r="F23" s="50">
        <v>22.257431357150818</v>
      </c>
      <c r="G23" s="51">
        <v>0.75306191737548178</v>
      </c>
      <c r="H23" s="56"/>
    </row>
    <row r="24" spans="1:8" x14ac:dyDescent="0.25">
      <c r="A24" s="43" t="s">
        <v>224</v>
      </c>
      <c r="B24" s="45">
        <v>112.29032529672841</v>
      </c>
      <c r="C24" s="49">
        <v>0.28411953957397218</v>
      </c>
      <c r="D24" s="45">
        <v>92.839794796524842</v>
      </c>
      <c r="E24" s="49">
        <v>0.25773889692038254</v>
      </c>
      <c r="F24" s="50">
        <v>23.928426301170983</v>
      </c>
      <c r="G24" s="51">
        <v>0.75001628829488443</v>
      </c>
    </row>
    <row r="25" spans="1:8" x14ac:dyDescent="0.25">
      <c r="A25" s="43" t="s">
        <v>224</v>
      </c>
      <c r="B25" s="45">
        <v>112.5633064373867</v>
      </c>
      <c r="C25" s="49">
        <v>0.30432359839994583</v>
      </c>
      <c r="D25" s="45">
        <v>92.671643728622115</v>
      </c>
      <c r="E25" s="49">
        <v>0.2760421867361742</v>
      </c>
      <c r="F25" s="50">
        <v>25.581283183284512</v>
      </c>
      <c r="G25" s="51">
        <v>0.74677514226582242</v>
      </c>
    </row>
    <row r="26" spans="1:8" x14ac:dyDescent="0.25">
      <c r="A26" s="43" t="s">
        <v>224</v>
      </c>
      <c r="B26" s="45">
        <v>112.81866324073216</v>
      </c>
      <c r="C26" s="49">
        <v>0.32450976590710134</v>
      </c>
      <c r="D26" s="45">
        <v>92.506784299514294</v>
      </c>
      <c r="E26" s="49">
        <v>0.29420025320149484</v>
      </c>
      <c r="F26" s="50">
        <v>27.215519363773172</v>
      </c>
      <c r="G26" s="51">
        <v>0.74337492179510978</v>
      </c>
    </row>
    <row r="27" spans="1:8" x14ac:dyDescent="0.25">
      <c r="A27" s="43" t="s">
        <v>224</v>
      </c>
      <c r="B27" s="45">
        <v>113.05853408620868</v>
      </c>
      <c r="C27" s="49">
        <v>0.34467668753921699</v>
      </c>
      <c r="D27" s="45">
        <v>92.315844287728737</v>
      </c>
      <c r="E27" s="49">
        <v>0.31230405014487861</v>
      </c>
      <c r="F27" s="50">
        <v>28.830612063601642</v>
      </c>
      <c r="G27" s="51">
        <v>0.73984135201735923</v>
      </c>
    </row>
    <row r="28" spans="1:8" x14ac:dyDescent="0.25">
      <c r="A28" s="43" t="s">
        <v>224</v>
      </c>
      <c r="B28" s="45">
        <v>113.28469033499155</v>
      </c>
      <c r="C28" s="49">
        <v>0.36482295740062454</v>
      </c>
      <c r="D28" s="45">
        <v>92.094793209518656</v>
      </c>
      <c r="E28" s="49">
        <v>0.33037888500372647</v>
      </c>
      <c r="F28" s="50">
        <v>30.426175095209533</v>
      </c>
      <c r="G28" s="51">
        <v>0.73619689048919024</v>
      </c>
    </row>
    <row r="29" spans="1:8" x14ac:dyDescent="0.25">
      <c r="A29" s="43" t="s">
        <v>224</v>
      </c>
      <c r="B29" s="45">
        <v>113.49861579448449</v>
      </c>
      <c r="C29" s="49">
        <v>0.38494712235180589</v>
      </c>
      <c r="D29" s="45">
        <v>91.930499667667959</v>
      </c>
      <c r="E29" s="49">
        <v>0.34811164414342555</v>
      </c>
      <c r="F29" s="50">
        <v>32.002077386238533</v>
      </c>
      <c r="G29" s="51">
        <v>0.73246441203519452</v>
      </c>
    </row>
    <row r="30" spans="1:8" x14ac:dyDescent="0.25">
      <c r="A30" s="43" t="s">
        <v>224</v>
      </c>
      <c r="B30" s="45">
        <v>113.70156577624724</v>
      </c>
      <c r="C30" s="49">
        <v>0.40504769023047971</v>
      </c>
      <c r="D30" s="45">
        <v>91.747404724238578</v>
      </c>
      <c r="E30" s="49">
        <v>0.36576234411336139</v>
      </c>
      <c r="F30" s="50">
        <v>33.557745818254787</v>
      </c>
      <c r="G30" s="51">
        <v>0.72865202274398688</v>
      </c>
    </row>
    <row r="31" spans="1:8" x14ac:dyDescent="0.25">
      <c r="A31" s="43" t="s">
        <v>224</v>
      </c>
      <c r="B31" s="45">
        <v>113.89461172984832</v>
      </c>
      <c r="C31" s="49">
        <v>0.42512313686194819</v>
      </c>
      <c r="D31" s="45">
        <v>91.45709778262696</v>
      </c>
      <c r="E31" s="49">
        <v>0.38371320070584869</v>
      </c>
      <c r="F31" s="50">
        <v>35.093295717439567</v>
      </c>
      <c r="G31" s="51">
        <v>0.72478005899743048</v>
      </c>
    </row>
    <row r="32" spans="1:8" x14ac:dyDescent="0.25">
      <c r="A32" s="43" t="s">
        <v>224</v>
      </c>
      <c r="B32" s="45">
        <v>114.07867548394003</v>
      </c>
      <c r="C32" s="49">
        <v>0.44517191650735172</v>
      </c>
      <c r="D32" s="45">
        <v>91.302647721951701</v>
      </c>
      <c r="E32" s="49">
        <v>0.40095300102046949</v>
      </c>
      <c r="F32" s="50">
        <v>36.608070605231269</v>
      </c>
      <c r="G32" s="51">
        <v>0.72084951571172928</v>
      </c>
    </row>
    <row r="33" spans="1:11" x14ac:dyDescent="0.25">
      <c r="A33" s="43" t="s">
        <v>224</v>
      </c>
      <c r="B33" s="45">
        <v>114.25455586968616</v>
      </c>
      <c r="C33" s="49">
        <v>0.46519247372196393</v>
      </c>
      <c r="D33" s="45">
        <v>91.0244598834974</v>
      </c>
      <c r="E33" s="49">
        <v>0.41859806769190167</v>
      </c>
      <c r="F33" s="50">
        <v>38.102663019931029</v>
      </c>
      <c r="G33" s="51">
        <v>0.71688438974657653</v>
      </c>
      <c r="K33">
        <v>13</v>
      </c>
    </row>
    <row r="34" spans="1:11" x14ac:dyDescent="0.25">
      <c r="A34" s="43" t="s">
        <v>224</v>
      </c>
      <c r="B34" s="45">
        <v>114.42294967385209</v>
      </c>
      <c r="C34" s="49">
        <v>0.48518325575159738</v>
      </c>
      <c r="D34" s="45">
        <v>90.744193339658295</v>
      </c>
      <c r="E34" s="49">
        <v>0.43613272107092116</v>
      </c>
      <c r="F34" s="50">
        <v>39.57651196261093</v>
      </c>
      <c r="G34" s="51">
        <v>0.71288351475303013</v>
      </c>
      <c r="H34">
        <v>200</v>
      </c>
      <c r="K34">
        <v>26</v>
      </c>
    </row>
    <row r="35" spans="1:11" x14ac:dyDescent="0.25">
      <c r="A35" s="43" t="s">
        <v>224</v>
      </c>
      <c r="B35" s="45">
        <v>114.58446831176231</v>
      </c>
      <c r="C35" s="49">
        <v>0.50514272730564702</v>
      </c>
      <c r="D35" s="45">
        <v>90.477949157642513</v>
      </c>
      <c r="E35" s="49">
        <v>0.45347631884488315</v>
      </c>
      <c r="F35" s="50">
        <v>41.029607320642221</v>
      </c>
      <c r="G35" s="51">
        <v>0.7088551548220462</v>
      </c>
      <c r="K35">
        <v>26</v>
      </c>
    </row>
    <row r="36" spans="1:11" x14ac:dyDescent="0.25">
      <c r="A36" s="43" t="s">
        <v>224</v>
      </c>
      <c r="B36" s="45">
        <v>114.73965122824723</v>
      </c>
      <c r="C36" s="49">
        <v>0.52506938737295183</v>
      </c>
      <c r="D36" s="45">
        <v>90.188681637837163</v>
      </c>
      <c r="E36" s="49">
        <v>0.47081292519666607</v>
      </c>
      <c r="F36" s="50">
        <v>42.461997021540959</v>
      </c>
      <c r="G36" s="51">
        <v>0.70480697173132467</v>
      </c>
      <c r="K36">
        <v>26</v>
      </c>
    </row>
    <row r="37" spans="1:11" x14ac:dyDescent="0.25">
      <c r="A37" s="43">
        <v>675</v>
      </c>
      <c r="B37" s="45">
        <v>114.88897676811149</v>
      </c>
      <c r="C37" s="49">
        <v>0.54496178593302458</v>
      </c>
      <c r="D37" s="45">
        <v>89.944777033488663</v>
      </c>
      <c r="E37" s="49">
        <v>0.48778646198162723</v>
      </c>
      <c r="F37" s="50">
        <v>43.873844562891755</v>
      </c>
      <c r="G37" s="51">
        <v>0.70074705497878775</v>
      </c>
    </row>
    <row r="38" spans="1:11" x14ac:dyDescent="0.25">
      <c r="A38" s="43">
        <v>700</v>
      </c>
      <c r="B38" s="45">
        <v>115.03287106870889</v>
      </c>
      <c r="C38" s="49">
        <v>0.56481854317844826</v>
      </c>
      <c r="D38" s="45">
        <v>89.680719868548067</v>
      </c>
      <c r="E38" s="49">
        <v>0.50473715387875617</v>
      </c>
      <c r="F38" s="50">
        <v>45.265191304248972</v>
      </c>
      <c r="G38" s="51">
        <v>0.69668017862146714</v>
      </c>
    </row>
    <row r="39" spans="1:11" x14ac:dyDescent="0.25">
      <c r="A39" s="43">
        <v>725</v>
      </c>
      <c r="B39" s="45">
        <v>115.17171539135887</v>
      </c>
      <c r="C39" s="49">
        <v>0.58463836953945358</v>
      </c>
      <c r="D39" s="45">
        <v>89.394525243605045</v>
      </c>
      <c r="E39" s="49">
        <v>0.52168981133330383</v>
      </c>
      <c r="F39" s="50">
        <v>46.636213008566585</v>
      </c>
      <c r="G39" s="51">
        <v>0.69261218444493611</v>
      </c>
    </row>
    <row r="40" spans="1:11" x14ac:dyDescent="0.25">
      <c r="A40" s="43">
        <v>750</v>
      </c>
      <c r="B40" s="45">
        <v>115.30585220936717</v>
      </c>
      <c r="C40" s="49">
        <v>0.60442008558891469</v>
      </c>
      <c r="D40" s="45">
        <v>89.118635686343509</v>
      </c>
      <c r="E40" s="49">
        <v>0.53846396278764797</v>
      </c>
      <c r="F40" s="50">
        <v>47.987173729897229</v>
      </c>
      <c r="G40" s="51">
        <v>0.68854913074049762</v>
      </c>
    </row>
    <row r="41" spans="1:11" x14ac:dyDescent="0.25">
      <c r="A41" s="43">
        <v>775</v>
      </c>
      <c r="B41" s="45">
        <v>115.43559029742306</v>
      </c>
      <c r="C41" s="49">
        <v>0.62416264317801995</v>
      </c>
      <c r="D41" s="45">
        <v>88.855343483909593</v>
      </c>
      <c r="E41" s="49">
        <v>0.55504130009888031</v>
      </c>
      <c r="F41" s="50">
        <v>49.318385368041753</v>
      </c>
      <c r="G41" s="51">
        <v>0.68449668562258992</v>
      </c>
    </row>
    <row r="42" spans="1:11" x14ac:dyDescent="0.25">
      <c r="A42" s="43">
        <v>800</v>
      </c>
      <c r="B42" s="45">
        <v>115.56120901271265</v>
      </c>
      <c r="C42" s="49">
        <v>0.64386514576477805</v>
      </c>
      <c r="D42" s="45">
        <v>88.56541807637538</v>
      </c>
      <c r="E42" s="49">
        <v>0.57166860256986962</v>
      </c>
      <c r="F42" s="50">
        <v>50.630068787737784</v>
      </c>
      <c r="G42" s="51">
        <v>0.68045831353937969</v>
      </c>
    </row>
    <row r="43" spans="1:11" x14ac:dyDescent="0.25">
      <c r="A43" s="43">
        <v>825</v>
      </c>
      <c r="B43" s="45">
        <v>115.68296191705997</v>
      </c>
      <c r="C43" s="49">
        <v>0.663526868174523</v>
      </c>
      <c r="D43" s="45">
        <v>88.303575081263091</v>
      </c>
      <c r="E43" s="49">
        <v>0.58800321172593284</v>
      </c>
      <c r="F43" s="50">
        <v>51.922785754664751</v>
      </c>
      <c r="G43" s="51">
        <v>0.67644123230116149</v>
      </c>
    </row>
    <row r="44" spans="1:11" x14ac:dyDescent="0.25">
      <c r="A44" s="43">
        <v>850</v>
      </c>
      <c r="B44" s="45">
        <v>115.80107985818917</v>
      </c>
      <c r="C44" s="49">
        <v>0.68314727636042072</v>
      </c>
      <c r="D44" s="45">
        <v>88.054879495399774</v>
      </c>
      <c r="E44" s="49">
        <v>0.60413320035281548</v>
      </c>
      <c r="F44" s="50">
        <v>53.196876156237373</v>
      </c>
      <c r="G44" s="51">
        <v>0.67244873328159482</v>
      </c>
    </row>
    <row r="45" spans="1:11" x14ac:dyDescent="0.25">
      <c r="A45" s="43">
        <v>875</v>
      </c>
      <c r="B45" s="45">
        <v>115.91577360422394</v>
      </c>
      <c r="C45" s="49">
        <v>0.70272604322283283</v>
      </c>
      <c r="D45" s="45">
        <v>87.80583295441815</v>
      </c>
      <c r="E45" s="49">
        <v>0.62014960300016764</v>
      </c>
      <c r="F45" s="50">
        <v>54.45275244778145</v>
      </c>
      <c r="G45" s="51">
        <v>0.66848435902682235</v>
      </c>
    </row>
    <row r="46" spans="1:11" x14ac:dyDescent="0.25">
      <c r="A46" s="43">
        <v>900</v>
      </c>
      <c r="B46" s="45">
        <v>116.02723610697203</v>
      </c>
      <c r="C46" s="49">
        <v>0.7222630646379482</v>
      </c>
      <c r="D46" s="45">
        <v>87.535744650820163</v>
      </c>
      <c r="E46" s="49">
        <v>0.6362090689800044</v>
      </c>
      <c r="F46" s="50">
        <v>55.691034606769698</v>
      </c>
      <c r="G46" s="51">
        <v>0.6645534742307766</v>
      </c>
    </row>
    <row r="47" spans="1:11" x14ac:dyDescent="0.25">
      <c r="A47" s="43">
        <v>925</v>
      </c>
      <c r="B47" s="45">
        <v>116.13564445504541</v>
      </c>
      <c r="C47" s="49">
        <v>0.74175847174457044</v>
      </c>
      <c r="D47" s="45">
        <v>87.248888190795753</v>
      </c>
      <c r="E47" s="49">
        <v>0.65229856793819907</v>
      </c>
      <c r="F47" s="50">
        <v>56.912324821056117</v>
      </c>
      <c r="G47" s="51">
        <v>0.66066040176506236</v>
      </c>
    </row>
    <row r="48" spans="1:11" x14ac:dyDescent="0.25">
      <c r="A48" s="43">
        <v>950</v>
      </c>
      <c r="B48" s="45">
        <v>116.24116156646497</v>
      </c>
      <c r="C48" s="49">
        <v>0.76121263863706357</v>
      </c>
      <c r="D48" s="45">
        <v>86.964281080987746</v>
      </c>
      <c r="E48" s="49">
        <v>0.66828777161041453</v>
      </c>
      <c r="F48" s="50">
        <v>58.117165613315031</v>
      </c>
      <c r="G48" s="51">
        <v>0.65680809091096459</v>
      </c>
    </row>
    <row r="49" spans="1:7" x14ac:dyDescent="0.25">
      <c r="A49" s="43">
        <v>975</v>
      </c>
      <c r="B49" s="45">
        <v>116.34393766136715</v>
      </c>
      <c r="C49" s="49">
        <v>0.78062618981913823</v>
      </c>
      <c r="D49" s="45">
        <v>86.708179623175596</v>
      </c>
      <c r="E49" s="49">
        <v>0.68397403766045162</v>
      </c>
      <c r="F49" s="50">
        <v>59.306143715051107</v>
      </c>
      <c r="G49" s="51">
        <v>0.65299944113672981</v>
      </c>
    </row>
    <row r="50" spans="1:7" x14ac:dyDescent="0.25">
      <c r="A50" s="43">
        <v>1000</v>
      </c>
      <c r="B50" s="45">
        <v>116.44411154822771</v>
      </c>
      <c r="C50" s="49">
        <v>0.80000000005437832</v>
      </c>
      <c r="D50" s="45">
        <v>86.393094404802298</v>
      </c>
      <c r="E50" s="49">
        <v>0.70005699615052674</v>
      </c>
      <c r="F50" s="50">
        <v>60.480090157174779</v>
      </c>
      <c r="G50" s="51">
        <v>0.64923946506318941</v>
      </c>
    </row>
    <row r="52" spans="1:7" x14ac:dyDescent="0.25">
      <c r="A52" s="22" t="s">
        <v>163</v>
      </c>
    </row>
    <row r="53" spans="1:7" x14ac:dyDescent="0.25">
      <c r="A53" t="s">
        <v>178</v>
      </c>
    </row>
    <row r="54" spans="1:7" x14ac:dyDescent="0.25">
      <c r="A54" s="24" t="s">
        <v>179</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DB57F-AF83-480C-8ABA-28E02155A43D}">
  <sheetPr codeName="Hoja7"/>
  <dimension ref="A1:K57"/>
  <sheetViews>
    <sheetView topLeftCell="A52" workbookViewId="0">
      <selection activeCell="L38" sqref="L38"/>
    </sheetView>
  </sheetViews>
  <sheetFormatPr baseColWidth="10" defaultRowHeight="15" x14ac:dyDescent="0.25"/>
  <cols>
    <col min="1" max="1" width="29.28515625" customWidth="1"/>
    <col min="2" max="2" width="57.85546875" bestFit="1" customWidth="1"/>
    <col min="3" max="3" width="41.140625" bestFit="1" customWidth="1"/>
    <col min="4" max="4" width="22.140625" customWidth="1"/>
    <col min="5" max="5" width="14.28515625" bestFit="1" customWidth="1"/>
    <col min="8" max="8" width="26.28515625" customWidth="1"/>
  </cols>
  <sheetData>
    <row r="1" spans="1:8" ht="17.25" x14ac:dyDescent="0.3">
      <c r="A1" s="23" t="s">
        <v>295</v>
      </c>
    </row>
    <row r="2" spans="1:8" x14ac:dyDescent="0.25">
      <c r="A2" s="24" t="s">
        <v>190</v>
      </c>
    </row>
    <row r="4" spans="1:8" x14ac:dyDescent="0.25">
      <c r="A4" s="22" t="s">
        <v>173</v>
      </c>
      <c r="E4">
        <v>200</v>
      </c>
    </row>
    <row r="5" spans="1:8" x14ac:dyDescent="0.25">
      <c r="A5" t="s">
        <v>224</v>
      </c>
      <c r="B5" t="s">
        <v>145</v>
      </c>
      <c r="E5" s="56">
        <v>200</v>
      </c>
    </row>
    <row r="6" spans="1:8" x14ac:dyDescent="0.25">
      <c r="A6" t="s">
        <v>174</v>
      </c>
      <c r="B6" t="s">
        <v>170</v>
      </c>
      <c r="E6" s="56">
        <v>200</v>
      </c>
    </row>
    <row r="7" spans="1:8" x14ac:dyDescent="0.25">
      <c r="A7" t="s">
        <v>191</v>
      </c>
      <c r="B7" t="s">
        <v>192</v>
      </c>
      <c r="E7" s="56">
        <v>200</v>
      </c>
    </row>
    <row r="8" spans="1:8" x14ac:dyDescent="0.25">
      <c r="A8" t="s">
        <v>224</v>
      </c>
      <c r="B8" t="s">
        <v>193</v>
      </c>
      <c r="E8" s="56">
        <v>200</v>
      </c>
    </row>
    <row r="9" spans="1:8" x14ac:dyDescent="0.25">
      <c r="A9" t="s">
        <v>224</v>
      </c>
      <c r="B9" t="s">
        <v>182</v>
      </c>
      <c r="C9" t="s">
        <v>194</v>
      </c>
    </row>
    <row r="10" spans="1:8" x14ac:dyDescent="0.25">
      <c r="A10" t="s">
        <v>224</v>
      </c>
      <c r="B10" t="s">
        <v>184</v>
      </c>
      <c r="C10" t="s">
        <v>195</v>
      </c>
    </row>
    <row r="11" spans="1:8" x14ac:dyDescent="0.25">
      <c r="A11" t="s">
        <v>224</v>
      </c>
    </row>
    <row r="12" spans="1:8" x14ac:dyDescent="0.25">
      <c r="A12" s="22" t="s">
        <v>224</v>
      </c>
    </row>
    <row r="13" spans="1:8" x14ac:dyDescent="0.25">
      <c r="A13" s="30" t="s">
        <v>224</v>
      </c>
      <c r="B13" s="30" t="s">
        <v>196</v>
      </c>
      <c r="C13" s="30" t="s">
        <v>197</v>
      </c>
      <c r="D13" s="30" t="s">
        <v>198</v>
      </c>
      <c r="E13" s="30" t="s">
        <v>199</v>
      </c>
    </row>
    <row r="14" spans="1:8" x14ac:dyDescent="0.25">
      <c r="A14" s="43" t="s">
        <v>224</v>
      </c>
      <c r="B14" s="44">
        <v>21.946562499999999</v>
      </c>
      <c r="C14" s="51">
        <v>0.69745576526012243</v>
      </c>
      <c r="D14" s="51">
        <v>0.69740056161255681</v>
      </c>
      <c r="E14" s="45">
        <v>-5.520364756561591E-3</v>
      </c>
    </row>
    <row r="15" spans="1:8" x14ac:dyDescent="0.25">
      <c r="A15" s="43" t="s">
        <v>224</v>
      </c>
      <c r="B15" s="44">
        <v>22.919843749999998</v>
      </c>
      <c r="C15" s="51">
        <v>0.73250589791450305</v>
      </c>
      <c r="D15" s="51">
        <v>0.73333748052109993</v>
      </c>
      <c r="E15" s="45">
        <v>8.3158260659688121E-2</v>
      </c>
    </row>
    <row r="16" spans="1:8" x14ac:dyDescent="0.25">
      <c r="A16" s="43" t="s">
        <v>224</v>
      </c>
      <c r="B16" s="44">
        <v>23.893124999999998</v>
      </c>
      <c r="C16" s="51">
        <v>0.74882934177870197</v>
      </c>
      <c r="D16" s="51">
        <v>0.74930921658760286</v>
      </c>
      <c r="E16" s="45">
        <v>4.7987480890088197E-2</v>
      </c>
      <c r="H16" s="56"/>
    </row>
    <row r="17" spans="1:8" x14ac:dyDescent="0.25">
      <c r="A17" s="43" t="s">
        <v>224</v>
      </c>
      <c r="B17" s="44">
        <v>24.866406250000001</v>
      </c>
      <c r="C17" s="51">
        <v>0.7569352599974053</v>
      </c>
      <c r="D17" s="51">
        <v>0.75703771637590789</v>
      </c>
      <c r="E17" s="45">
        <v>1.0245637850259115E-2</v>
      </c>
      <c r="H17" s="56"/>
    </row>
    <row r="18" spans="1:8" x14ac:dyDescent="0.25">
      <c r="A18" s="43" t="s">
        <v>224</v>
      </c>
      <c r="B18" s="44">
        <v>25.8396875</v>
      </c>
      <c r="C18" s="51">
        <v>0.76099942235911533</v>
      </c>
      <c r="D18" s="51">
        <v>0.76051374349617329</v>
      </c>
      <c r="E18" s="45">
        <v>-4.8567886294204055E-2</v>
      </c>
      <c r="H18" s="56"/>
    </row>
    <row r="19" spans="1:8" x14ac:dyDescent="0.25">
      <c r="A19" s="43" t="s">
        <v>224</v>
      </c>
      <c r="B19" s="44">
        <v>26.81296875</v>
      </c>
      <c r="C19" s="51">
        <v>0.76266742988351455</v>
      </c>
      <c r="D19" s="51">
        <v>0.76151286466141699</v>
      </c>
      <c r="E19" s="45">
        <v>-0.11545652220975589</v>
      </c>
      <c r="H19" s="56"/>
    </row>
    <row r="20" spans="1:8" x14ac:dyDescent="0.25">
      <c r="A20" s="43" t="s">
        <v>224</v>
      </c>
      <c r="B20" s="44">
        <v>27.786249999999999</v>
      </c>
      <c r="C20" s="51">
        <v>0.76283491523567559</v>
      </c>
      <c r="D20" s="51">
        <v>0.76096068977379538</v>
      </c>
      <c r="E20" s="45">
        <v>-0.18742254618802079</v>
      </c>
      <c r="H20" s="56"/>
    </row>
    <row r="21" spans="1:8" x14ac:dyDescent="0.25">
      <c r="A21" s="43" t="s">
        <v>224</v>
      </c>
      <c r="B21" s="44">
        <v>28.759531249999998</v>
      </c>
      <c r="C21" s="51">
        <v>0.76199100561994093</v>
      </c>
      <c r="D21" s="51">
        <v>0.75933302967778615</v>
      </c>
      <c r="E21" s="45">
        <v>-0.26579759421547777</v>
      </c>
      <c r="H21" s="56"/>
    </row>
    <row r="22" spans="1:8" x14ac:dyDescent="0.25">
      <c r="A22" s="43" t="s">
        <v>224</v>
      </c>
      <c r="B22" s="44">
        <v>29.732812499999998</v>
      </c>
      <c r="C22" s="51">
        <v>0.76043396424845955</v>
      </c>
      <c r="D22" s="51">
        <v>0.75692976201693529</v>
      </c>
      <c r="E22" s="45">
        <v>-0.3504202231524256</v>
      </c>
      <c r="H22" s="56"/>
    </row>
    <row r="23" spans="1:8" x14ac:dyDescent="0.25">
      <c r="A23" s="43" t="s">
        <v>224</v>
      </c>
      <c r="B23" s="44">
        <v>30.706093749999997</v>
      </c>
      <c r="C23" s="51">
        <v>0.75834626178602638</v>
      </c>
      <c r="D23" s="51">
        <v>0.75398223694542865</v>
      </c>
      <c r="E23" s="45">
        <v>-0.43640248405977244</v>
      </c>
      <c r="H23" s="56"/>
    </row>
    <row r="24" spans="1:8" x14ac:dyDescent="0.25">
      <c r="A24" s="43" t="s">
        <v>224</v>
      </c>
      <c r="B24" s="44">
        <v>31.679375</v>
      </c>
      <c r="C24" s="51">
        <v>0.7558539046296926</v>
      </c>
      <c r="D24" s="51">
        <v>0.75058446290461411</v>
      </c>
      <c r="E24" s="45">
        <v>-0.52694417250784831</v>
      </c>
    </row>
    <row r="25" spans="1:8" x14ac:dyDescent="0.25">
      <c r="A25" s="43" t="s">
        <v>224</v>
      </c>
      <c r="B25" s="44">
        <v>32.65265625</v>
      </c>
      <c r="C25" s="51">
        <v>0.75306191737548178</v>
      </c>
      <c r="D25" s="51">
        <v>0.74685290834258389</v>
      </c>
      <c r="E25" s="45">
        <v>-0.62090090328978942</v>
      </c>
    </row>
    <row r="26" spans="1:8" x14ac:dyDescent="0.25">
      <c r="A26" s="43" t="s">
        <v>224</v>
      </c>
      <c r="B26" s="44">
        <v>33.625937499999999</v>
      </c>
      <c r="C26" s="51">
        <v>0.75001628829488443</v>
      </c>
      <c r="D26" s="51">
        <v>0.74283634256727438</v>
      </c>
      <c r="E26" s="45">
        <v>-0.71799457276100487</v>
      </c>
    </row>
    <row r="27" spans="1:8" x14ac:dyDescent="0.25">
      <c r="A27" s="43" t="s">
        <v>224</v>
      </c>
      <c r="B27" s="44">
        <v>34.599218749999999</v>
      </c>
      <c r="C27" s="51">
        <v>0.74677514226582242</v>
      </c>
      <c r="D27" s="51">
        <v>0.73860499972003169</v>
      </c>
      <c r="E27" s="45">
        <v>-0.81701425457907373</v>
      </c>
    </row>
    <row r="28" spans="1:8" x14ac:dyDescent="0.25">
      <c r="A28" s="43" t="s">
        <v>224</v>
      </c>
      <c r="B28" s="44">
        <v>35.572499999999998</v>
      </c>
      <c r="C28" s="51">
        <v>0.74337492179510978</v>
      </c>
      <c r="D28" s="51">
        <v>0.73418387664387141</v>
      </c>
      <c r="E28" s="45">
        <v>-0.9191045151238364</v>
      </c>
    </row>
    <row r="29" spans="1:8" x14ac:dyDescent="0.25">
      <c r="A29" s="43" t="s">
        <v>224</v>
      </c>
      <c r="B29" s="44">
        <v>36.545781249999997</v>
      </c>
      <c r="C29" s="51">
        <v>0.73984135201735923</v>
      </c>
      <c r="D29" s="51">
        <v>0.72960405962363273</v>
      </c>
      <c r="E29" s="45">
        <v>-1.0237292393726505</v>
      </c>
    </row>
    <row r="30" spans="1:8" x14ac:dyDescent="0.25">
      <c r="A30" s="43" t="s">
        <v>224</v>
      </c>
      <c r="B30" s="44">
        <v>37.519062499999997</v>
      </c>
      <c r="C30" s="51">
        <v>0.73619689048919024</v>
      </c>
      <c r="D30" s="51">
        <v>0.72489026120055466</v>
      </c>
      <c r="E30" s="45">
        <v>-1.1306629288635572</v>
      </c>
    </row>
    <row r="31" spans="1:8" x14ac:dyDescent="0.25">
      <c r="A31" s="43" t="s">
        <v>224</v>
      </c>
      <c r="B31" s="44">
        <v>38.492343749999996</v>
      </c>
      <c r="C31" s="51">
        <v>0.73246441203519452</v>
      </c>
      <c r="D31" s="51">
        <v>0.7200613569654547</v>
      </c>
      <c r="E31" s="45">
        <v>-1.2403055069739821</v>
      </c>
    </row>
    <row r="32" spans="1:8" x14ac:dyDescent="0.25">
      <c r="A32" s="43" t="s">
        <v>224</v>
      </c>
      <c r="B32" s="44">
        <v>39.465624999999996</v>
      </c>
      <c r="C32" s="51">
        <v>0.72865202274398688</v>
      </c>
      <c r="D32" s="51">
        <v>0.71513558100104391</v>
      </c>
      <c r="E32" s="45">
        <v>-1.3516441742942975</v>
      </c>
    </row>
    <row r="33" spans="1:11" x14ac:dyDescent="0.25">
      <c r="A33" s="43" t="s">
        <v>224</v>
      </c>
      <c r="B33" s="44">
        <v>40.438906249999995</v>
      </c>
      <c r="C33" s="51">
        <v>0.72478005899743048</v>
      </c>
      <c r="D33" s="51">
        <v>0.71012398481234451</v>
      </c>
      <c r="E33" s="45">
        <v>-1.4656074185085965</v>
      </c>
      <c r="K33">
        <v>13</v>
      </c>
    </row>
    <row r="34" spans="1:11" x14ac:dyDescent="0.25">
      <c r="A34" s="43" t="s">
        <v>224</v>
      </c>
      <c r="B34" s="44">
        <v>41.412187499999995</v>
      </c>
      <c r="C34" s="51">
        <v>0.72084951571172928</v>
      </c>
      <c r="D34" s="51">
        <v>0.70503865930595644</v>
      </c>
      <c r="E34" s="45">
        <v>-1.5810856405772844</v>
      </c>
      <c r="H34">
        <v>200</v>
      </c>
      <c r="K34">
        <v>26</v>
      </c>
    </row>
    <row r="35" spans="1:11" x14ac:dyDescent="0.25">
      <c r="A35" s="43" t="s">
        <v>224</v>
      </c>
      <c r="B35" s="44">
        <v>42.385468749999994</v>
      </c>
      <c r="C35" s="51">
        <v>0.71688438974657653</v>
      </c>
      <c r="D35" s="51">
        <v>0.69988811750930147</v>
      </c>
      <c r="E35" s="45">
        <v>-1.6996272237275067</v>
      </c>
      <c r="K35">
        <v>26</v>
      </c>
    </row>
    <row r="36" spans="1:11" x14ac:dyDescent="0.25">
      <c r="A36" s="43" t="s">
        <v>224</v>
      </c>
      <c r="B36" s="44">
        <v>43.358750000000001</v>
      </c>
      <c r="C36" s="51">
        <v>0.71288351475303013</v>
      </c>
      <c r="D36" s="51">
        <v>0.69468658394011029</v>
      </c>
      <c r="E36" s="45">
        <v>-1.8196930812919843</v>
      </c>
      <c r="K36">
        <v>26</v>
      </c>
    </row>
    <row r="37" spans="1:11" x14ac:dyDescent="0.25">
      <c r="A37" s="43">
        <v>625</v>
      </c>
      <c r="B37" s="44">
        <v>44.33203125</v>
      </c>
      <c r="C37" s="51">
        <v>0.7088551548220462</v>
      </c>
      <c r="D37" s="51">
        <v>0.68943634754648786</v>
      </c>
      <c r="E37" s="45">
        <v>-1.9418807275558336</v>
      </c>
    </row>
    <row r="38" spans="1:11" x14ac:dyDescent="0.25">
      <c r="A38" s="43">
        <v>650</v>
      </c>
      <c r="B38" s="44">
        <v>45.305312499999999</v>
      </c>
      <c r="C38" s="51">
        <v>0.70480697173132467</v>
      </c>
      <c r="D38" s="51">
        <v>0.68414689652240701</v>
      </c>
      <c r="E38" s="45">
        <v>-2.0660075208917661</v>
      </c>
    </row>
    <row r="39" spans="1:11" x14ac:dyDescent="0.25">
      <c r="A39" s="43">
        <v>675</v>
      </c>
      <c r="B39" s="44">
        <v>46.278593749999999</v>
      </c>
      <c r="C39" s="51">
        <v>0.70074705497878775</v>
      </c>
      <c r="D39" s="51">
        <v>0.67882358028639345</v>
      </c>
      <c r="E39" s="45">
        <v>-2.1923474692394307</v>
      </c>
    </row>
    <row r="40" spans="1:11" x14ac:dyDescent="0.25">
      <c r="A40" s="43">
        <v>700</v>
      </c>
      <c r="B40" s="44">
        <v>47.251874999999998</v>
      </c>
      <c r="C40" s="51">
        <v>0.69668017862146714</v>
      </c>
      <c r="D40" s="51">
        <v>0.67347486319260819</v>
      </c>
      <c r="E40" s="45">
        <v>-2.3205315428858952</v>
      </c>
    </row>
    <row r="41" spans="1:11" x14ac:dyDescent="0.25">
      <c r="A41" s="43">
        <v>725</v>
      </c>
      <c r="B41" s="44">
        <v>48.225156249999998</v>
      </c>
      <c r="C41" s="51">
        <v>0.69261218444493611</v>
      </c>
      <c r="D41" s="51">
        <v>0.66810409151897843</v>
      </c>
      <c r="E41" s="45">
        <v>-2.4508092925957681</v>
      </c>
    </row>
    <row r="42" spans="1:11" x14ac:dyDescent="0.25">
      <c r="A42" s="43">
        <v>750</v>
      </c>
      <c r="B42" s="44">
        <v>49.198437499999997</v>
      </c>
      <c r="C42" s="51">
        <v>0.68854913074049762</v>
      </c>
      <c r="D42" s="51">
        <v>0.66271674330914387</v>
      </c>
      <c r="E42" s="45">
        <v>-2.5832387431353743</v>
      </c>
    </row>
    <row r="43" spans="1:11" x14ac:dyDescent="0.25">
      <c r="A43" s="43">
        <v>775</v>
      </c>
      <c r="B43" s="44">
        <v>50.171718749999997</v>
      </c>
      <c r="C43" s="51">
        <v>0.68449668562258992</v>
      </c>
      <c r="D43" s="51">
        <v>0.65731840165243061</v>
      </c>
      <c r="E43" s="45">
        <v>-2.7178283970159312</v>
      </c>
    </row>
    <row r="44" spans="1:11" x14ac:dyDescent="0.25">
      <c r="A44" s="43">
        <v>800</v>
      </c>
      <c r="B44" s="44">
        <v>51.144999999999996</v>
      </c>
      <c r="C44" s="51">
        <v>0.68045831353937969</v>
      </c>
      <c r="D44" s="51">
        <v>0.6519128942891248</v>
      </c>
      <c r="E44" s="45">
        <v>-2.8545419250254889</v>
      </c>
    </row>
    <row r="45" spans="1:11" x14ac:dyDescent="0.25">
      <c r="A45" s="43">
        <v>825</v>
      </c>
      <c r="B45" s="44">
        <v>52.118281249999995</v>
      </c>
      <c r="C45" s="51">
        <v>0.67644123230116149</v>
      </c>
      <c r="D45" s="51">
        <v>0.64650441161856076</v>
      </c>
      <c r="E45" s="45">
        <v>-2.9936820682600729</v>
      </c>
    </row>
    <row r="46" spans="1:11" x14ac:dyDescent="0.25">
      <c r="A46" s="43">
        <v>850</v>
      </c>
      <c r="B46" s="44">
        <v>53.091562499999995</v>
      </c>
      <c r="C46" s="51">
        <v>0.67244873328159482</v>
      </c>
      <c r="D46" s="51">
        <v>0.64109638154473969</v>
      </c>
      <c r="E46" s="45">
        <v>-3.1352351736855133</v>
      </c>
    </row>
    <row r="47" spans="1:11" x14ac:dyDescent="0.25">
      <c r="A47" s="43">
        <v>875</v>
      </c>
      <c r="B47" s="44">
        <v>54.064843749999994</v>
      </c>
      <c r="C47" s="51">
        <v>0.66848435902682235</v>
      </c>
      <c r="D47" s="51">
        <v>0.63569361976071348</v>
      </c>
      <c r="E47" s="45">
        <v>-3.279073926610887</v>
      </c>
    </row>
    <row r="48" spans="1:11" x14ac:dyDescent="0.25">
      <c r="A48" s="43">
        <v>900</v>
      </c>
      <c r="B48" s="44">
        <v>55.038124999999994</v>
      </c>
      <c r="C48" s="51">
        <v>0.6645534742307766</v>
      </c>
      <c r="D48" s="51">
        <v>0.63029765801321891</v>
      </c>
      <c r="E48" s="45">
        <v>-3.4255816217557689</v>
      </c>
    </row>
    <row r="49" spans="1:5" x14ac:dyDescent="0.25">
      <c r="A49" s="43">
        <v>925</v>
      </c>
      <c r="B49" s="44">
        <v>56.011406249999993</v>
      </c>
      <c r="C49" s="51">
        <v>0.66066040176506236</v>
      </c>
      <c r="D49" s="51">
        <v>0.62491204289909408</v>
      </c>
      <c r="E49" s="45">
        <v>-3.5748358865968277</v>
      </c>
    </row>
    <row r="50" spans="1:5" x14ac:dyDescent="0.25">
      <c r="A50" s="43">
        <v>950</v>
      </c>
      <c r="B50" s="44">
        <v>56.984687499999993</v>
      </c>
      <c r="C50" s="51">
        <v>0.65680809091096459</v>
      </c>
      <c r="D50" s="51">
        <v>0.61953894085166006</v>
      </c>
      <c r="E50" s="45">
        <v>-3.7269150059304534</v>
      </c>
    </row>
    <row r="51" spans="1:5" x14ac:dyDescent="0.25">
      <c r="A51" s="43">
        <v>975</v>
      </c>
      <c r="B51" s="44">
        <v>57.957968749999992</v>
      </c>
      <c r="C51" s="51">
        <v>0.65299944113672981</v>
      </c>
      <c r="D51" s="51">
        <v>0.61418026450976981</v>
      </c>
      <c r="E51" s="45">
        <v>-3.8819176626959995</v>
      </c>
    </row>
    <row r="52" spans="1:5" x14ac:dyDescent="0.25">
      <c r="A52" s="43">
        <v>1000</v>
      </c>
      <c r="B52" s="44">
        <v>58.931249999999991</v>
      </c>
      <c r="C52" s="51">
        <v>0.64923946506318941</v>
      </c>
      <c r="D52" s="51">
        <v>0.60883804028981769</v>
      </c>
      <c r="E52" s="45">
        <v>-4.0401424773371719</v>
      </c>
    </row>
    <row r="54" spans="1:5" x14ac:dyDescent="0.25">
      <c r="A54" s="22" t="s">
        <v>163</v>
      </c>
    </row>
    <row r="55" spans="1:5" x14ac:dyDescent="0.25">
      <c r="A55" t="s">
        <v>200</v>
      </c>
    </row>
    <row r="56" spans="1:5" x14ac:dyDescent="0.25">
      <c r="A56" t="s">
        <v>201</v>
      </c>
    </row>
    <row r="57" spans="1:5" x14ac:dyDescent="0.25">
      <c r="A57" s="24" t="s">
        <v>202</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86223-BC01-4DFF-93A2-72127F0136E4}">
  <sheetPr codeName="Hoja8"/>
  <dimension ref="A1:O59"/>
  <sheetViews>
    <sheetView topLeftCell="N1" workbookViewId="0">
      <selection activeCell="A33" sqref="A33:XFD33"/>
    </sheetView>
  </sheetViews>
  <sheetFormatPr baseColWidth="10" defaultRowHeight="15" x14ac:dyDescent="0.25"/>
  <cols>
    <col min="1" max="1" width="46.42578125" customWidth="1"/>
    <col min="2" max="2" width="35" bestFit="1" customWidth="1"/>
    <col min="3" max="3" width="10.5703125" bestFit="1" customWidth="1"/>
    <col min="4" max="4" width="7.42578125" bestFit="1" customWidth="1"/>
    <col min="5" max="5" width="6.42578125" bestFit="1" customWidth="1"/>
    <col min="6" max="6" width="8.28515625" bestFit="1" customWidth="1"/>
    <col min="7" max="7" width="7.5703125" bestFit="1" customWidth="1"/>
    <col min="8" max="8" width="9.7109375" bestFit="1" customWidth="1"/>
    <col min="9" max="9" width="17" bestFit="1" customWidth="1"/>
    <col min="10" max="10" width="15.140625" bestFit="1" customWidth="1"/>
    <col min="11" max="11" width="21" bestFit="1" customWidth="1"/>
    <col min="12" max="12" width="9" bestFit="1" customWidth="1"/>
    <col min="13" max="13" width="157.28515625" bestFit="1" customWidth="1"/>
    <col min="14" max="14" width="152" bestFit="1" customWidth="1"/>
  </cols>
  <sheetData>
    <row r="1" spans="1:15" x14ac:dyDescent="0.25">
      <c r="A1" s="22" t="s">
        <v>203</v>
      </c>
    </row>
    <row r="2" spans="1:15" x14ac:dyDescent="0.25">
      <c r="A2" s="24" t="s">
        <v>382</v>
      </c>
    </row>
    <row r="3" spans="1:15" x14ac:dyDescent="0.25">
      <c r="A3" s="54" t="s">
        <v>204</v>
      </c>
    </row>
    <row r="5" spans="1:15" x14ac:dyDescent="0.25">
      <c r="A5" s="30" t="s">
        <v>205</v>
      </c>
      <c r="B5" s="30" t="s">
        <v>206</v>
      </c>
      <c r="C5" s="30" t="s">
        <v>207</v>
      </c>
      <c r="D5" s="30" t="s">
        <v>165</v>
      </c>
      <c r="E5" s="30" t="s">
        <v>166</v>
      </c>
      <c r="F5" s="30" t="s">
        <v>167</v>
      </c>
      <c r="G5" s="30" t="s">
        <v>168</v>
      </c>
      <c r="H5" s="30" t="s">
        <v>169</v>
      </c>
      <c r="I5" s="30" t="s">
        <v>208</v>
      </c>
      <c r="J5" s="30" t="s">
        <v>209</v>
      </c>
      <c r="K5" s="30" t="s">
        <v>210</v>
      </c>
      <c r="L5" s="30" t="s">
        <v>211</v>
      </c>
      <c r="M5" s="30" t="s">
        <v>212</v>
      </c>
      <c r="N5" s="30" t="s">
        <v>4</v>
      </c>
      <c r="O5" s="30" t="s">
        <v>285</v>
      </c>
    </row>
    <row r="6" spans="1:15" x14ac:dyDescent="0.25">
      <c r="A6" s="55" t="s">
        <v>213</v>
      </c>
      <c r="B6" t="s">
        <v>214</v>
      </c>
      <c r="C6" t="s">
        <v>112</v>
      </c>
      <c r="D6" s="55" t="s">
        <v>215</v>
      </c>
      <c r="E6" s="55" t="s">
        <v>215</v>
      </c>
      <c r="F6" s="55" t="s">
        <v>215</v>
      </c>
      <c r="G6" s="55" t="s">
        <v>215</v>
      </c>
      <c r="H6" s="55" t="s">
        <v>215</v>
      </c>
      <c r="I6" s="69" t="s">
        <v>215</v>
      </c>
      <c r="J6" s="69">
        <v>0</v>
      </c>
      <c r="K6" s="69" t="s">
        <v>215</v>
      </c>
      <c r="L6" s="55" t="s">
        <v>215</v>
      </c>
      <c r="M6" t="s">
        <v>216</v>
      </c>
      <c r="N6" t="s">
        <v>383</v>
      </c>
      <c r="O6">
        <v>161.5</v>
      </c>
    </row>
    <row r="7" spans="1:15" x14ac:dyDescent="0.25">
      <c r="A7" s="55" t="s">
        <v>213</v>
      </c>
      <c r="B7" t="s">
        <v>217</v>
      </c>
      <c r="C7" t="s">
        <v>112</v>
      </c>
      <c r="D7" s="55" t="s">
        <v>215</v>
      </c>
      <c r="E7" s="55" t="s">
        <v>215</v>
      </c>
      <c r="F7" s="55" t="s">
        <v>215</v>
      </c>
      <c r="G7" s="55" t="s">
        <v>215</v>
      </c>
      <c r="H7" s="55" t="s">
        <v>215</v>
      </c>
      <c r="I7" s="69" t="s">
        <v>215</v>
      </c>
      <c r="J7" s="69">
        <v>0</v>
      </c>
      <c r="K7" s="69" t="s">
        <v>215</v>
      </c>
      <c r="L7" s="55" t="s">
        <v>215</v>
      </c>
      <c r="M7" t="s">
        <v>216</v>
      </c>
      <c r="N7" t="s">
        <v>384</v>
      </c>
      <c r="O7">
        <v>161.5</v>
      </c>
    </row>
    <row r="8" spans="1:15" x14ac:dyDescent="0.25">
      <c r="A8" s="55" t="s">
        <v>213</v>
      </c>
      <c r="B8" t="s">
        <v>218</v>
      </c>
      <c r="C8" t="s">
        <v>112</v>
      </c>
      <c r="D8" s="55" t="s">
        <v>215</v>
      </c>
      <c r="E8" s="55" t="s">
        <v>215</v>
      </c>
      <c r="F8" s="55" t="s">
        <v>215</v>
      </c>
      <c r="G8" s="55" t="s">
        <v>215</v>
      </c>
      <c r="H8" s="55" t="s">
        <v>215</v>
      </c>
      <c r="I8" s="69" t="s">
        <v>215</v>
      </c>
      <c r="J8" s="69">
        <v>0</v>
      </c>
      <c r="K8" s="69" t="s">
        <v>215</v>
      </c>
      <c r="L8" s="55" t="s">
        <v>215</v>
      </c>
      <c r="M8" t="s">
        <v>216</v>
      </c>
      <c r="N8" t="s">
        <v>385</v>
      </c>
      <c r="O8">
        <v>161.5</v>
      </c>
    </row>
    <row r="9" spans="1:15" x14ac:dyDescent="0.25">
      <c r="A9" s="55" t="s">
        <v>213</v>
      </c>
      <c r="B9" t="s">
        <v>219</v>
      </c>
      <c r="C9" t="s">
        <v>112</v>
      </c>
      <c r="D9" s="55" t="s">
        <v>215</v>
      </c>
      <c r="E9" s="55" t="s">
        <v>215</v>
      </c>
      <c r="F9" s="55" t="s">
        <v>215</v>
      </c>
      <c r="G9" s="55" t="s">
        <v>215</v>
      </c>
      <c r="H9" s="55" t="s">
        <v>215</v>
      </c>
      <c r="I9" s="69" t="s">
        <v>215</v>
      </c>
      <c r="J9" s="69">
        <v>0</v>
      </c>
      <c r="K9" s="69" t="s">
        <v>215</v>
      </c>
      <c r="L9" s="55" t="s">
        <v>215</v>
      </c>
      <c r="M9" t="s">
        <v>216</v>
      </c>
      <c r="N9" t="s">
        <v>386</v>
      </c>
      <c r="O9">
        <v>161.5</v>
      </c>
    </row>
    <row r="10" spans="1:15" x14ac:dyDescent="0.25">
      <c r="A10" s="55" t="s">
        <v>213</v>
      </c>
      <c r="B10" t="s">
        <v>220</v>
      </c>
      <c r="C10" t="s">
        <v>112</v>
      </c>
      <c r="D10" s="55" t="s">
        <v>215</v>
      </c>
      <c r="E10" s="55" t="s">
        <v>215</v>
      </c>
      <c r="F10" s="55" t="s">
        <v>215</v>
      </c>
      <c r="G10" s="55" t="s">
        <v>215</v>
      </c>
      <c r="H10" s="55" t="s">
        <v>215</v>
      </c>
      <c r="I10" s="69" t="s">
        <v>215</v>
      </c>
      <c r="J10" s="69">
        <v>0</v>
      </c>
      <c r="K10" s="69" t="s">
        <v>215</v>
      </c>
      <c r="L10" s="55" t="s">
        <v>215</v>
      </c>
      <c r="M10" t="s">
        <v>216</v>
      </c>
      <c r="N10" t="s">
        <v>387</v>
      </c>
      <c r="O10">
        <v>161.5</v>
      </c>
    </row>
    <row r="11" spans="1:15" x14ac:dyDescent="0.25">
      <c r="A11" s="55" t="s">
        <v>213</v>
      </c>
      <c r="B11" t="s">
        <v>221</v>
      </c>
      <c r="C11" t="s">
        <v>112</v>
      </c>
      <c r="D11" s="55" t="s">
        <v>215</v>
      </c>
      <c r="E11" s="55" t="s">
        <v>215</v>
      </c>
      <c r="F11" s="55" t="s">
        <v>215</v>
      </c>
      <c r="G11" s="55" t="s">
        <v>215</v>
      </c>
      <c r="H11" s="55" t="s">
        <v>215</v>
      </c>
      <c r="I11" s="69" t="s">
        <v>215</v>
      </c>
      <c r="J11" s="69">
        <v>0</v>
      </c>
      <c r="K11" s="69" t="s">
        <v>215</v>
      </c>
      <c r="L11" s="55" t="s">
        <v>215</v>
      </c>
      <c r="M11" t="s">
        <v>216</v>
      </c>
      <c r="N11" t="s">
        <v>388</v>
      </c>
      <c r="O11">
        <v>161.5</v>
      </c>
    </row>
    <row r="12" spans="1:15" x14ac:dyDescent="0.25">
      <c r="A12" s="55" t="s">
        <v>213</v>
      </c>
      <c r="B12" t="s">
        <v>222</v>
      </c>
      <c r="C12" t="s">
        <v>112</v>
      </c>
      <c r="D12" s="55" t="s">
        <v>215</v>
      </c>
      <c r="E12" s="55" t="s">
        <v>215</v>
      </c>
      <c r="F12" s="55" t="s">
        <v>215</v>
      </c>
      <c r="G12" s="55" t="s">
        <v>215</v>
      </c>
      <c r="H12">
        <v>216</v>
      </c>
      <c r="I12" s="69" t="s">
        <v>215</v>
      </c>
      <c r="J12" s="69">
        <v>0</v>
      </c>
      <c r="K12" s="69">
        <v>-0.214</v>
      </c>
      <c r="L12">
        <v>47.4</v>
      </c>
      <c r="M12" t="s">
        <v>223</v>
      </c>
      <c r="N12" t="s">
        <v>389</v>
      </c>
      <c r="O12">
        <v>170</v>
      </c>
    </row>
    <row r="13" spans="1:15" x14ac:dyDescent="0.25">
      <c r="A13" t="s">
        <v>224</v>
      </c>
      <c r="B13" t="s">
        <v>225</v>
      </c>
      <c r="C13" t="s">
        <v>112</v>
      </c>
      <c r="D13">
        <v>181</v>
      </c>
      <c r="E13">
        <v>2.54</v>
      </c>
      <c r="F13">
        <v>142.5</v>
      </c>
      <c r="G13">
        <v>2.2799999999999998</v>
      </c>
      <c r="H13">
        <v>326</v>
      </c>
      <c r="I13" s="69">
        <v>-0.32100000000000001</v>
      </c>
      <c r="J13" s="69">
        <v>0</v>
      </c>
      <c r="K13" s="69">
        <v>-0.214</v>
      </c>
      <c r="L13">
        <v>47.4</v>
      </c>
      <c r="M13" t="s">
        <v>223</v>
      </c>
      <c r="N13" t="s">
        <v>390</v>
      </c>
      <c r="O13">
        <v>305.98</v>
      </c>
    </row>
    <row r="14" spans="1:15" x14ac:dyDescent="0.25">
      <c r="A14" t="s">
        <v>224</v>
      </c>
      <c r="B14" t="s">
        <v>226</v>
      </c>
      <c r="C14" t="s">
        <v>112</v>
      </c>
      <c r="D14">
        <v>184</v>
      </c>
      <c r="E14">
        <v>3.25</v>
      </c>
      <c r="F14">
        <v>144.5</v>
      </c>
      <c r="G14">
        <v>2.93</v>
      </c>
      <c r="H14">
        <v>423</v>
      </c>
      <c r="I14" s="69">
        <v>-0.32100000000000001</v>
      </c>
      <c r="J14" s="69">
        <v>0</v>
      </c>
      <c r="K14" s="69">
        <v>-0.214</v>
      </c>
      <c r="L14">
        <v>51.1</v>
      </c>
      <c r="M14" t="s">
        <v>223</v>
      </c>
      <c r="N14" t="s">
        <v>391</v>
      </c>
      <c r="O14">
        <v>311.06</v>
      </c>
    </row>
    <row r="15" spans="1:15" x14ac:dyDescent="0.25">
      <c r="A15" t="s">
        <v>224</v>
      </c>
      <c r="B15" t="s">
        <v>227</v>
      </c>
      <c r="C15" t="s">
        <v>112</v>
      </c>
      <c r="D15">
        <v>181.4</v>
      </c>
      <c r="E15">
        <v>1.52</v>
      </c>
      <c r="F15">
        <v>142.5</v>
      </c>
      <c r="G15">
        <v>1.36</v>
      </c>
      <c r="H15">
        <v>194</v>
      </c>
      <c r="I15" s="69">
        <v>-0.32100000000000001</v>
      </c>
      <c r="J15" s="69">
        <v>0</v>
      </c>
      <c r="K15" s="69">
        <v>-0.214</v>
      </c>
      <c r="L15">
        <v>51.1</v>
      </c>
      <c r="M15" t="s">
        <v>223</v>
      </c>
      <c r="N15" t="s">
        <v>392</v>
      </c>
      <c r="O15">
        <v>306.66000000000003</v>
      </c>
    </row>
    <row r="16" spans="1:15" x14ac:dyDescent="0.25">
      <c r="A16" t="s">
        <v>224</v>
      </c>
      <c r="B16" t="s">
        <v>228</v>
      </c>
      <c r="C16" t="s">
        <v>112</v>
      </c>
      <c r="D16">
        <v>181.4</v>
      </c>
      <c r="E16">
        <v>2.29</v>
      </c>
      <c r="F16">
        <v>142.5</v>
      </c>
      <c r="G16">
        <v>2.06</v>
      </c>
      <c r="H16">
        <v>293</v>
      </c>
      <c r="I16" s="69">
        <v>-0.32100000000000001</v>
      </c>
      <c r="J16" s="69">
        <v>0</v>
      </c>
      <c r="K16" s="69">
        <v>-0.214</v>
      </c>
      <c r="L16">
        <v>51.1</v>
      </c>
      <c r="M16" t="s">
        <v>223</v>
      </c>
      <c r="N16" t="s">
        <v>393</v>
      </c>
      <c r="O16">
        <v>306.66000000000003</v>
      </c>
    </row>
    <row r="17" spans="1:15" x14ac:dyDescent="0.25">
      <c r="A17" t="s">
        <v>224</v>
      </c>
      <c r="B17" t="s">
        <v>229</v>
      </c>
      <c r="C17" t="s">
        <v>112</v>
      </c>
      <c r="D17">
        <v>184</v>
      </c>
      <c r="E17">
        <v>2.93</v>
      </c>
      <c r="F17">
        <v>144.5</v>
      </c>
      <c r="G17">
        <v>2.63</v>
      </c>
      <c r="H17">
        <v>380</v>
      </c>
      <c r="I17" s="69">
        <v>-0.32100000000000001</v>
      </c>
      <c r="J17" s="69">
        <v>0</v>
      </c>
      <c r="K17" s="69">
        <v>-0.214</v>
      </c>
      <c r="L17">
        <v>51.1</v>
      </c>
      <c r="M17" t="s">
        <v>223</v>
      </c>
      <c r="N17" t="s">
        <v>394</v>
      </c>
      <c r="O17">
        <v>311.06</v>
      </c>
    </row>
    <row r="18" spans="1:15" x14ac:dyDescent="0.25">
      <c r="A18" t="s">
        <v>224</v>
      </c>
      <c r="B18" t="s">
        <v>230</v>
      </c>
      <c r="C18" t="s">
        <v>112</v>
      </c>
      <c r="D18">
        <v>181.4</v>
      </c>
      <c r="E18">
        <v>1.35</v>
      </c>
      <c r="F18">
        <v>142.5</v>
      </c>
      <c r="G18">
        <v>1.21</v>
      </c>
      <c r="H18">
        <v>173</v>
      </c>
      <c r="I18" s="69">
        <v>-0.32100000000000001</v>
      </c>
      <c r="J18" s="69">
        <v>0</v>
      </c>
      <c r="K18" s="69">
        <v>-0.214</v>
      </c>
      <c r="L18">
        <v>51.1</v>
      </c>
      <c r="M18" t="s">
        <v>223</v>
      </c>
      <c r="N18" t="s">
        <v>395</v>
      </c>
      <c r="O18">
        <v>306.66000000000003</v>
      </c>
    </row>
    <row r="19" spans="1:15" x14ac:dyDescent="0.25">
      <c r="A19" t="s">
        <v>224</v>
      </c>
      <c r="B19" t="s">
        <v>231</v>
      </c>
      <c r="C19" t="s">
        <v>112</v>
      </c>
      <c r="D19">
        <v>181.4</v>
      </c>
      <c r="E19">
        <v>2.0299999999999998</v>
      </c>
      <c r="F19">
        <v>142.5</v>
      </c>
      <c r="G19">
        <v>1.83</v>
      </c>
      <c r="H19">
        <v>260</v>
      </c>
      <c r="I19" s="69">
        <v>-0.32100000000000001</v>
      </c>
      <c r="J19" s="69">
        <v>0</v>
      </c>
      <c r="K19" s="69">
        <v>-0.214</v>
      </c>
      <c r="L19">
        <v>51.1</v>
      </c>
      <c r="M19" t="s">
        <v>223</v>
      </c>
      <c r="N19" t="s">
        <v>396</v>
      </c>
      <c r="O19">
        <v>306.66000000000003</v>
      </c>
    </row>
    <row r="20" spans="1:15" x14ac:dyDescent="0.25">
      <c r="A20" t="s">
        <v>224</v>
      </c>
      <c r="B20" t="s">
        <v>232</v>
      </c>
      <c r="C20" t="s">
        <v>112</v>
      </c>
      <c r="D20">
        <v>184</v>
      </c>
      <c r="E20">
        <v>2.6</v>
      </c>
      <c r="F20">
        <v>144.5</v>
      </c>
      <c r="G20">
        <v>2.34</v>
      </c>
      <c r="H20">
        <v>338</v>
      </c>
      <c r="I20" s="69">
        <v>-0.32100000000000001</v>
      </c>
      <c r="J20" s="69">
        <v>0</v>
      </c>
      <c r="K20" s="69">
        <v>-0.214</v>
      </c>
      <c r="L20">
        <v>51.1</v>
      </c>
      <c r="M20" t="s">
        <v>223</v>
      </c>
      <c r="N20" t="s">
        <v>397</v>
      </c>
      <c r="O20">
        <v>311.06</v>
      </c>
    </row>
    <row r="21" spans="1:15" x14ac:dyDescent="0.25">
      <c r="A21" t="s">
        <v>224</v>
      </c>
      <c r="B21" t="s">
        <v>233</v>
      </c>
      <c r="C21" t="s">
        <v>112</v>
      </c>
      <c r="D21">
        <v>181.4</v>
      </c>
      <c r="E21">
        <v>1.18</v>
      </c>
      <c r="F21">
        <v>142.5</v>
      </c>
      <c r="G21">
        <v>1.06</v>
      </c>
      <c r="H21">
        <v>151</v>
      </c>
      <c r="I21" s="69">
        <v>-0.32100000000000001</v>
      </c>
      <c r="J21" s="69">
        <v>0</v>
      </c>
      <c r="K21" s="69">
        <v>-0.214</v>
      </c>
      <c r="L21">
        <v>51.1</v>
      </c>
      <c r="M21" t="s">
        <v>223</v>
      </c>
      <c r="N21" t="s">
        <v>398</v>
      </c>
      <c r="O21">
        <v>306.66000000000003</v>
      </c>
    </row>
    <row r="22" spans="1:15" x14ac:dyDescent="0.25">
      <c r="A22" t="s">
        <v>224</v>
      </c>
      <c r="B22" t="s">
        <v>234</v>
      </c>
      <c r="C22" t="s">
        <v>112</v>
      </c>
      <c r="D22">
        <v>181.4</v>
      </c>
      <c r="E22">
        <v>1.78</v>
      </c>
      <c r="F22">
        <v>142.5</v>
      </c>
      <c r="G22">
        <v>1.6</v>
      </c>
      <c r="H22">
        <v>228</v>
      </c>
      <c r="I22" s="69">
        <v>-0.32100000000000001</v>
      </c>
      <c r="J22" s="69">
        <v>0</v>
      </c>
      <c r="K22" s="69">
        <v>-0.214</v>
      </c>
      <c r="L22">
        <v>51.1</v>
      </c>
      <c r="M22" t="s">
        <v>223</v>
      </c>
      <c r="N22" t="s">
        <v>399</v>
      </c>
      <c r="O22">
        <v>306.66000000000003</v>
      </c>
    </row>
    <row r="23" spans="1:15" x14ac:dyDescent="0.25">
      <c r="A23" t="s">
        <v>224</v>
      </c>
      <c r="B23" t="s">
        <v>235</v>
      </c>
      <c r="C23" t="s">
        <v>112</v>
      </c>
      <c r="D23">
        <v>184</v>
      </c>
      <c r="E23">
        <v>2.2799999999999998</v>
      </c>
      <c r="F23">
        <v>144.5</v>
      </c>
      <c r="G23">
        <v>2.0499999999999998</v>
      </c>
      <c r="H23">
        <v>296</v>
      </c>
      <c r="I23" s="69">
        <v>-0.32100000000000001</v>
      </c>
      <c r="J23" s="69">
        <v>0</v>
      </c>
      <c r="K23" s="69">
        <v>-0.214</v>
      </c>
      <c r="L23">
        <v>51.1</v>
      </c>
      <c r="M23" t="s">
        <v>223</v>
      </c>
      <c r="N23" t="s">
        <v>400</v>
      </c>
      <c r="O23">
        <v>311.06</v>
      </c>
    </row>
    <row r="24" spans="1:15" x14ac:dyDescent="0.25">
      <c r="A24" t="s">
        <v>224</v>
      </c>
      <c r="B24" t="s">
        <v>236</v>
      </c>
      <c r="C24" t="s">
        <v>112</v>
      </c>
      <c r="D24">
        <v>181.4</v>
      </c>
      <c r="E24">
        <v>1.01</v>
      </c>
      <c r="F24">
        <v>142.5</v>
      </c>
      <c r="G24">
        <v>0.91</v>
      </c>
      <c r="H24">
        <v>130</v>
      </c>
      <c r="I24" s="69">
        <v>-0.32100000000000001</v>
      </c>
      <c r="J24" s="69">
        <v>0</v>
      </c>
      <c r="K24" s="69">
        <v>-0.214</v>
      </c>
      <c r="L24">
        <v>51.1</v>
      </c>
      <c r="M24" t="s">
        <v>223</v>
      </c>
      <c r="N24" t="s">
        <v>401</v>
      </c>
      <c r="O24">
        <v>306.66000000000003</v>
      </c>
    </row>
    <row r="25" spans="1:15" x14ac:dyDescent="0.25">
      <c r="A25" t="s">
        <v>224</v>
      </c>
      <c r="B25" t="s">
        <v>237</v>
      </c>
      <c r="C25" t="s">
        <v>112</v>
      </c>
      <c r="D25">
        <v>181.4</v>
      </c>
      <c r="E25">
        <v>1.52</v>
      </c>
      <c r="F25">
        <v>142.5</v>
      </c>
      <c r="G25">
        <v>1.37</v>
      </c>
      <c r="H25">
        <v>195</v>
      </c>
      <c r="I25" s="69">
        <v>-0.32100000000000001</v>
      </c>
      <c r="J25" s="69">
        <v>0</v>
      </c>
      <c r="K25" s="69">
        <v>-0.214</v>
      </c>
      <c r="L25">
        <v>51.1</v>
      </c>
      <c r="M25" t="s">
        <v>223</v>
      </c>
      <c r="N25" t="s">
        <v>402</v>
      </c>
      <c r="O25">
        <v>306.66000000000003</v>
      </c>
    </row>
    <row r="26" spans="1:15" x14ac:dyDescent="0.25">
      <c r="A26" t="s">
        <v>224</v>
      </c>
      <c r="B26" t="s">
        <v>238</v>
      </c>
      <c r="C26" t="s">
        <v>112</v>
      </c>
      <c r="D26">
        <v>184</v>
      </c>
      <c r="E26">
        <v>1.95</v>
      </c>
      <c r="F26">
        <v>144.5</v>
      </c>
      <c r="G26">
        <v>1.76</v>
      </c>
      <c r="H26">
        <v>254</v>
      </c>
      <c r="I26" s="69">
        <v>-0.32100000000000001</v>
      </c>
      <c r="J26" s="69">
        <v>0</v>
      </c>
      <c r="K26" s="69">
        <v>-0.214</v>
      </c>
      <c r="L26">
        <v>51.1</v>
      </c>
      <c r="M26" t="s">
        <v>223</v>
      </c>
      <c r="N26" t="s">
        <v>403</v>
      </c>
      <c r="O26">
        <v>311.06</v>
      </c>
    </row>
    <row r="27" spans="1:15" x14ac:dyDescent="0.25">
      <c r="A27" t="s">
        <v>224</v>
      </c>
      <c r="B27" t="s">
        <v>239</v>
      </c>
      <c r="C27" t="s">
        <v>112</v>
      </c>
      <c r="D27">
        <v>181.4</v>
      </c>
      <c r="E27">
        <v>0.84</v>
      </c>
      <c r="F27">
        <v>142.5</v>
      </c>
      <c r="G27">
        <v>0.76</v>
      </c>
      <c r="H27">
        <v>108</v>
      </c>
      <c r="I27" s="69">
        <v>-0.32100000000000001</v>
      </c>
      <c r="J27" s="69">
        <v>0</v>
      </c>
      <c r="K27" s="69">
        <v>-0.214</v>
      </c>
      <c r="L27">
        <v>51.1</v>
      </c>
      <c r="M27" t="s">
        <v>223</v>
      </c>
      <c r="N27" t="s">
        <v>404</v>
      </c>
      <c r="O27">
        <v>306.66000000000003</v>
      </c>
    </row>
    <row r="28" spans="1:15" x14ac:dyDescent="0.25">
      <c r="A28" t="s">
        <v>224</v>
      </c>
      <c r="B28" t="s">
        <v>240</v>
      </c>
      <c r="C28" t="s">
        <v>112</v>
      </c>
      <c r="D28">
        <v>181.4</v>
      </c>
      <c r="E28">
        <v>1.27</v>
      </c>
      <c r="F28">
        <v>142.5</v>
      </c>
      <c r="G28">
        <v>1.1399999999999999</v>
      </c>
      <c r="H28">
        <v>163</v>
      </c>
      <c r="I28" s="69">
        <v>-0.32100000000000001</v>
      </c>
      <c r="J28" s="69">
        <v>0</v>
      </c>
      <c r="K28" s="69">
        <v>-0.214</v>
      </c>
      <c r="L28">
        <v>51.1</v>
      </c>
      <c r="M28" t="s">
        <v>223</v>
      </c>
      <c r="N28" t="s">
        <v>405</v>
      </c>
      <c r="O28">
        <v>306.66000000000003</v>
      </c>
    </row>
    <row r="29" spans="1:15" x14ac:dyDescent="0.25">
      <c r="A29" t="s">
        <v>224</v>
      </c>
      <c r="B29" t="s">
        <v>241</v>
      </c>
      <c r="C29" t="s">
        <v>112</v>
      </c>
      <c r="D29">
        <v>184</v>
      </c>
      <c r="E29">
        <v>1.63</v>
      </c>
      <c r="F29">
        <v>144.5</v>
      </c>
      <c r="G29">
        <v>1.46</v>
      </c>
      <c r="H29">
        <v>211</v>
      </c>
      <c r="I29" s="69">
        <v>-0.32100000000000001</v>
      </c>
      <c r="J29" s="69">
        <v>0</v>
      </c>
      <c r="K29" s="69">
        <v>-0.214</v>
      </c>
      <c r="L29">
        <v>51.1</v>
      </c>
      <c r="M29" t="s">
        <v>223</v>
      </c>
      <c r="N29" t="s">
        <v>406</v>
      </c>
      <c r="O29">
        <v>311.06</v>
      </c>
    </row>
    <row r="30" spans="1:15" x14ac:dyDescent="0.25">
      <c r="A30" t="s">
        <v>224</v>
      </c>
      <c r="B30" t="s">
        <v>242</v>
      </c>
      <c r="C30" t="s">
        <v>112</v>
      </c>
      <c r="D30">
        <v>116</v>
      </c>
      <c r="E30">
        <v>1.39</v>
      </c>
      <c r="F30">
        <v>86.37</v>
      </c>
      <c r="G30">
        <v>1.22</v>
      </c>
      <c r="H30">
        <v>105</v>
      </c>
      <c r="I30" s="69">
        <v>-0.32100000000000001</v>
      </c>
      <c r="J30" s="69">
        <v>0</v>
      </c>
      <c r="K30" s="69">
        <v>-0.214</v>
      </c>
      <c r="L30">
        <v>51.1</v>
      </c>
      <c r="M30" t="s">
        <v>243</v>
      </c>
      <c r="N30" t="s">
        <v>407</v>
      </c>
      <c r="O30">
        <v>196.1</v>
      </c>
    </row>
    <row r="31" spans="1:15" x14ac:dyDescent="0.25">
      <c r="A31" t="s">
        <v>224</v>
      </c>
      <c r="B31" t="s">
        <v>244</v>
      </c>
      <c r="C31" t="s">
        <v>112</v>
      </c>
      <c r="D31">
        <v>120</v>
      </c>
      <c r="E31">
        <v>1.4</v>
      </c>
      <c r="F31">
        <v>87.45</v>
      </c>
      <c r="G31">
        <v>1.24</v>
      </c>
      <c r="H31">
        <v>108</v>
      </c>
      <c r="I31" s="69">
        <v>-0.32100000000000001</v>
      </c>
      <c r="J31" s="69">
        <v>0</v>
      </c>
      <c r="K31" s="69">
        <v>-0.214</v>
      </c>
      <c r="L31">
        <v>51.1</v>
      </c>
      <c r="M31" t="s">
        <v>243</v>
      </c>
      <c r="N31" t="s">
        <v>408</v>
      </c>
      <c r="O31">
        <v>202.86</v>
      </c>
    </row>
    <row r="32" spans="1:15" x14ac:dyDescent="0.25">
      <c r="A32" t="s">
        <v>224</v>
      </c>
      <c r="B32" t="s">
        <v>245</v>
      </c>
      <c r="C32" t="s">
        <v>112</v>
      </c>
      <c r="D32">
        <v>176.84</v>
      </c>
      <c r="E32">
        <v>0.9</v>
      </c>
      <c r="F32">
        <v>138</v>
      </c>
      <c r="G32">
        <v>0.8</v>
      </c>
      <c r="H32">
        <v>110</v>
      </c>
      <c r="I32" s="69">
        <v>-0.32100000000000001</v>
      </c>
      <c r="J32" s="69">
        <v>0</v>
      </c>
      <c r="K32" s="69">
        <v>-0.214</v>
      </c>
      <c r="L32">
        <v>51.1</v>
      </c>
      <c r="M32" t="s">
        <v>243</v>
      </c>
      <c r="N32" t="s">
        <v>409</v>
      </c>
      <c r="O32">
        <v>298.95</v>
      </c>
    </row>
    <row r="33" spans="1:15" x14ac:dyDescent="0.25">
      <c r="A33" t="s">
        <v>224</v>
      </c>
      <c r="B33" t="s">
        <v>246</v>
      </c>
      <c r="C33" t="s">
        <v>112</v>
      </c>
      <c r="D33">
        <v>180.49</v>
      </c>
      <c r="E33">
        <v>0.91800000000000004</v>
      </c>
      <c r="F33">
        <v>138.80000000000001</v>
      </c>
      <c r="G33">
        <v>0.83399999999999996</v>
      </c>
      <c r="H33">
        <v>115</v>
      </c>
      <c r="I33" s="69">
        <v>-0.32100000000000001</v>
      </c>
      <c r="J33" s="69">
        <v>0</v>
      </c>
      <c r="K33" s="69">
        <v>-0.214</v>
      </c>
      <c r="L33">
        <v>51.1</v>
      </c>
      <c r="M33" t="s">
        <v>243</v>
      </c>
      <c r="N33" t="s">
        <v>410</v>
      </c>
      <c r="O33">
        <v>305.12</v>
      </c>
    </row>
    <row r="34" spans="1:15" x14ac:dyDescent="0.25">
      <c r="A34" s="55" t="s">
        <v>213</v>
      </c>
      <c r="B34" t="s">
        <v>247</v>
      </c>
      <c r="C34" t="s">
        <v>112</v>
      </c>
      <c r="D34" s="55" t="s">
        <v>215</v>
      </c>
      <c r="E34" s="55" t="s">
        <v>215</v>
      </c>
      <c r="F34" s="55" t="s">
        <v>215</v>
      </c>
      <c r="G34" s="55" t="s">
        <v>215</v>
      </c>
      <c r="H34" s="55" t="s">
        <v>215</v>
      </c>
      <c r="I34" s="69" t="s">
        <v>215</v>
      </c>
      <c r="J34" s="69">
        <v>0</v>
      </c>
      <c r="K34" s="69">
        <v>-0.214</v>
      </c>
      <c r="L34">
        <v>51.1</v>
      </c>
      <c r="M34" t="s">
        <v>248</v>
      </c>
      <c r="N34" t="s">
        <v>411</v>
      </c>
      <c r="O34">
        <v>144.5</v>
      </c>
    </row>
    <row r="35" spans="1:15" x14ac:dyDescent="0.25">
      <c r="A35" t="s">
        <v>224</v>
      </c>
      <c r="B35" t="s">
        <v>249</v>
      </c>
      <c r="C35" t="s">
        <v>112</v>
      </c>
      <c r="D35">
        <v>116</v>
      </c>
      <c r="E35">
        <v>1.19</v>
      </c>
      <c r="F35">
        <v>86.4</v>
      </c>
      <c r="G35">
        <v>1.05</v>
      </c>
      <c r="H35">
        <v>94</v>
      </c>
      <c r="I35" s="69">
        <v>-0.32100000000000001</v>
      </c>
      <c r="J35" s="69">
        <v>0</v>
      </c>
      <c r="K35" s="69">
        <v>-0.214</v>
      </c>
      <c r="L35">
        <v>51.1</v>
      </c>
      <c r="M35" t="s">
        <v>250</v>
      </c>
      <c r="N35" t="s">
        <v>412</v>
      </c>
      <c r="O35">
        <v>196.1</v>
      </c>
    </row>
    <row r="36" spans="1:15" x14ac:dyDescent="0.25">
      <c r="A36" t="s">
        <v>224</v>
      </c>
      <c r="B36" t="s">
        <v>251</v>
      </c>
      <c r="C36" t="s">
        <v>112</v>
      </c>
      <c r="D36">
        <v>116</v>
      </c>
      <c r="E36">
        <v>1.07</v>
      </c>
      <c r="F36">
        <v>86.4</v>
      </c>
      <c r="G36">
        <v>0.94</v>
      </c>
      <c r="H36">
        <v>84</v>
      </c>
      <c r="I36" s="69">
        <v>-0.32100000000000001</v>
      </c>
      <c r="J36" s="69">
        <v>0</v>
      </c>
      <c r="K36" s="69">
        <v>-0.214</v>
      </c>
      <c r="L36">
        <v>51.1</v>
      </c>
      <c r="M36" t="s">
        <v>250</v>
      </c>
      <c r="N36" t="s">
        <v>413</v>
      </c>
      <c r="O36">
        <v>196.1</v>
      </c>
    </row>
    <row r="37" spans="1:15" x14ac:dyDescent="0.25">
      <c r="A37" t="s">
        <v>224</v>
      </c>
      <c r="B37" t="s">
        <v>252</v>
      </c>
      <c r="C37" t="s">
        <v>112</v>
      </c>
      <c r="D37">
        <v>116</v>
      </c>
      <c r="E37">
        <v>0.93</v>
      </c>
      <c r="F37">
        <v>86.4</v>
      </c>
      <c r="G37">
        <v>0.81</v>
      </c>
      <c r="H37">
        <v>73</v>
      </c>
      <c r="I37" s="69">
        <v>-0.32100000000000001</v>
      </c>
      <c r="J37" s="69">
        <v>0</v>
      </c>
      <c r="K37" s="69">
        <v>-0.214</v>
      </c>
      <c r="L37">
        <v>51.1</v>
      </c>
      <c r="M37" t="s">
        <v>250</v>
      </c>
      <c r="N37" t="s">
        <v>414</v>
      </c>
      <c r="O37">
        <v>196.1</v>
      </c>
    </row>
    <row r="38" spans="1:15" x14ac:dyDescent="0.25">
      <c r="A38" t="s">
        <v>224</v>
      </c>
      <c r="B38" t="s">
        <v>253</v>
      </c>
      <c r="C38" t="s">
        <v>112</v>
      </c>
      <c r="D38">
        <v>116</v>
      </c>
      <c r="E38">
        <v>0.8</v>
      </c>
      <c r="F38">
        <v>86.4</v>
      </c>
      <c r="G38">
        <v>0.7</v>
      </c>
      <c r="H38">
        <v>63</v>
      </c>
      <c r="I38" s="69">
        <v>-0.32100000000000001</v>
      </c>
      <c r="J38" s="69">
        <v>0</v>
      </c>
      <c r="K38" s="69">
        <v>-0.214</v>
      </c>
      <c r="L38">
        <v>51.1</v>
      </c>
      <c r="M38" t="s">
        <v>254</v>
      </c>
      <c r="N38" t="s">
        <v>415</v>
      </c>
      <c r="O38">
        <v>196.1</v>
      </c>
    </row>
    <row r="39" spans="1:15" x14ac:dyDescent="0.25">
      <c r="A39" t="s">
        <v>224</v>
      </c>
      <c r="B39" t="s">
        <v>255</v>
      </c>
      <c r="C39" t="s">
        <v>112</v>
      </c>
      <c r="D39">
        <v>116</v>
      </c>
      <c r="E39">
        <v>0.66</v>
      </c>
      <c r="F39">
        <v>86.4</v>
      </c>
      <c r="G39">
        <v>0.57999999999999996</v>
      </c>
      <c r="H39">
        <v>52</v>
      </c>
      <c r="I39" s="69">
        <v>-0.32100000000000001</v>
      </c>
      <c r="J39" s="69">
        <v>0</v>
      </c>
      <c r="K39" s="69">
        <v>-0.214</v>
      </c>
      <c r="L39">
        <v>51.1</v>
      </c>
      <c r="M39" t="s">
        <v>254</v>
      </c>
      <c r="N39" t="s">
        <v>416</v>
      </c>
      <c r="O39">
        <v>196.1</v>
      </c>
    </row>
    <row r="40" spans="1:15" x14ac:dyDescent="0.25">
      <c r="A40" t="s">
        <v>224</v>
      </c>
      <c r="B40" t="s">
        <v>256</v>
      </c>
      <c r="C40" t="s">
        <v>112</v>
      </c>
      <c r="D40">
        <v>116</v>
      </c>
      <c r="E40">
        <v>0.53</v>
      </c>
      <c r="F40">
        <v>86.4</v>
      </c>
      <c r="G40">
        <v>0.47</v>
      </c>
      <c r="H40">
        <v>42</v>
      </c>
      <c r="I40" s="69">
        <v>-0.32100000000000001</v>
      </c>
      <c r="J40" s="69">
        <v>0</v>
      </c>
      <c r="K40" s="69">
        <v>-0.214</v>
      </c>
      <c r="L40">
        <v>51.1</v>
      </c>
      <c r="M40" t="s">
        <v>254</v>
      </c>
      <c r="N40" t="s">
        <v>417</v>
      </c>
      <c r="O40">
        <v>196.1</v>
      </c>
    </row>
    <row r="41" spans="1:15" x14ac:dyDescent="0.25">
      <c r="A41" t="s">
        <v>224</v>
      </c>
      <c r="B41" t="s">
        <v>257</v>
      </c>
      <c r="C41" t="s">
        <v>112</v>
      </c>
      <c r="D41">
        <v>116</v>
      </c>
      <c r="E41">
        <v>0.4</v>
      </c>
      <c r="F41">
        <v>86.4</v>
      </c>
      <c r="G41">
        <v>0.35199999999999998</v>
      </c>
      <c r="H41">
        <v>31</v>
      </c>
      <c r="I41" s="69">
        <v>-0.32100000000000001</v>
      </c>
      <c r="J41" s="69">
        <v>0</v>
      </c>
      <c r="K41" s="69">
        <v>-0.214</v>
      </c>
      <c r="L41">
        <v>51.1</v>
      </c>
      <c r="M41" t="s">
        <v>254</v>
      </c>
      <c r="N41" t="s">
        <v>418</v>
      </c>
      <c r="O41">
        <v>196.1</v>
      </c>
    </row>
    <row r="42" spans="1:15" x14ac:dyDescent="0.25">
      <c r="A42" t="s">
        <v>224</v>
      </c>
      <c r="B42" t="s">
        <v>258</v>
      </c>
      <c r="C42" t="s">
        <v>259</v>
      </c>
      <c r="D42">
        <v>10.8</v>
      </c>
      <c r="E42">
        <v>4.0999999999999996</v>
      </c>
      <c r="F42">
        <v>8.9</v>
      </c>
      <c r="G42">
        <v>3.6</v>
      </c>
      <c r="H42">
        <v>32</v>
      </c>
      <c r="I42" s="69" t="s">
        <v>215</v>
      </c>
      <c r="J42" s="69">
        <v>0</v>
      </c>
      <c r="K42" s="69" t="s">
        <v>215</v>
      </c>
      <c r="L42" s="55" t="s">
        <v>215</v>
      </c>
      <c r="M42" t="s">
        <v>260</v>
      </c>
      <c r="N42" t="s">
        <v>419</v>
      </c>
      <c r="O42">
        <v>18.260000000000002</v>
      </c>
    </row>
    <row r="43" spans="1:15" x14ac:dyDescent="0.25">
      <c r="A43" t="s">
        <v>224</v>
      </c>
      <c r="B43" t="s">
        <v>261</v>
      </c>
      <c r="C43" t="s">
        <v>259</v>
      </c>
      <c r="D43">
        <v>10.5</v>
      </c>
      <c r="E43">
        <v>3.9</v>
      </c>
      <c r="F43">
        <v>8.4</v>
      </c>
      <c r="G43">
        <v>3.4</v>
      </c>
      <c r="H43">
        <v>28</v>
      </c>
      <c r="I43" s="69" t="s">
        <v>215</v>
      </c>
      <c r="J43" s="69">
        <v>0</v>
      </c>
      <c r="K43" s="69">
        <v>-0.214</v>
      </c>
      <c r="L43">
        <v>50.5</v>
      </c>
      <c r="M43" t="s">
        <v>262</v>
      </c>
      <c r="N43" t="s">
        <v>420</v>
      </c>
      <c r="O43">
        <v>17.75</v>
      </c>
    </row>
    <row r="44" spans="1:15" x14ac:dyDescent="0.25">
      <c r="A44" t="s">
        <v>224</v>
      </c>
      <c r="B44" t="s">
        <v>263</v>
      </c>
      <c r="C44" t="s">
        <v>259</v>
      </c>
      <c r="D44">
        <v>10.5</v>
      </c>
      <c r="E44">
        <v>3.9</v>
      </c>
      <c r="F44">
        <v>8.4</v>
      </c>
      <c r="G44">
        <v>3.4</v>
      </c>
      <c r="H44">
        <v>28</v>
      </c>
      <c r="I44" s="69" t="s">
        <v>215</v>
      </c>
      <c r="J44" s="69">
        <v>0</v>
      </c>
      <c r="K44" s="69">
        <v>-0.214</v>
      </c>
      <c r="L44">
        <v>50.5</v>
      </c>
      <c r="M44" t="s">
        <v>262</v>
      </c>
      <c r="N44" t="s">
        <v>421</v>
      </c>
      <c r="O44">
        <v>17.75</v>
      </c>
    </row>
    <row r="45" spans="1:15" x14ac:dyDescent="0.25">
      <c r="A45" t="s">
        <v>224</v>
      </c>
      <c r="B45" t="s">
        <v>264</v>
      </c>
      <c r="C45" t="s">
        <v>112</v>
      </c>
      <c r="D45">
        <v>124.2</v>
      </c>
      <c r="E45">
        <v>3.74</v>
      </c>
      <c r="F45">
        <v>96</v>
      </c>
      <c r="G45">
        <v>3.41</v>
      </c>
      <c r="H45">
        <v>327.8</v>
      </c>
      <c r="I45" s="69">
        <v>-0.28000000000000003</v>
      </c>
      <c r="J45" s="69">
        <v>0</v>
      </c>
      <c r="K45" s="69">
        <v>-0.216</v>
      </c>
      <c r="L45">
        <v>51.2</v>
      </c>
      <c r="M45" t="s">
        <v>265</v>
      </c>
      <c r="N45" t="s">
        <v>422</v>
      </c>
      <c r="O45">
        <v>209.29</v>
      </c>
    </row>
    <row r="46" spans="1:15" x14ac:dyDescent="0.25">
      <c r="A46" t="s">
        <v>224</v>
      </c>
      <c r="B46" t="s">
        <v>266</v>
      </c>
      <c r="C46" t="s">
        <v>112</v>
      </c>
      <c r="D46">
        <v>125.5</v>
      </c>
      <c r="E46">
        <v>1.24</v>
      </c>
      <c r="F46">
        <v>101.8</v>
      </c>
      <c r="G46">
        <v>1.1299999999999999</v>
      </c>
      <c r="H46">
        <v>115</v>
      </c>
      <c r="I46" s="69">
        <v>-0.28000000000000003</v>
      </c>
      <c r="J46" s="69">
        <v>0</v>
      </c>
      <c r="K46" s="69">
        <v>-0.28999999999999998</v>
      </c>
      <c r="L46">
        <v>42.3</v>
      </c>
      <c r="M46" t="s">
        <v>267</v>
      </c>
      <c r="N46" t="s">
        <v>423</v>
      </c>
      <c r="O46">
        <v>212.16</v>
      </c>
    </row>
    <row r="47" spans="1:15" x14ac:dyDescent="0.25">
      <c r="A47" t="s">
        <v>224</v>
      </c>
      <c r="B47" t="s">
        <v>268</v>
      </c>
      <c r="C47" t="s">
        <v>112</v>
      </c>
      <c r="D47">
        <v>125.5</v>
      </c>
      <c r="E47">
        <v>0.99</v>
      </c>
      <c r="F47">
        <v>101.8</v>
      </c>
      <c r="G47">
        <v>0.9</v>
      </c>
      <c r="H47">
        <v>92</v>
      </c>
      <c r="I47" s="69">
        <v>-0.28000000000000003</v>
      </c>
      <c r="J47" s="69">
        <v>0</v>
      </c>
      <c r="K47" s="69">
        <v>-0.28999999999999998</v>
      </c>
      <c r="L47">
        <v>42.3</v>
      </c>
      <c r="M47" t="s">
        <v>267</v>
      </c>
      <c r="N47" t="s">
        <v>424</v>
      </c>
      <c r="O47">
        <v>212.16</v>
      </c>
    </row>
    <row r="48" spans="1:15" x14ac:dyDescent="0.25">
      <c r="A48" t="s">
        <v>224</v>
      </c>
      <c r="B48" t="s">
        <v>269</v>
      </c>
      <c r="C48" t="s">
        <v>112</v>
      </c>
      <c r="D48">
        <v>125.5</v>
      </c>
      <c r="E48">
        <v>0.74</v>
      </c>
      <c r="F48">
        <v>101.8</v>
      </c>
      <c r="G48">
        <v>0.68</v>
      </c>
      <c r="H48">
        <v>69</v>
      </c>
      <c r="I48" s="69">
        <v>-0.28000000000000003</v>
      </c>
      <c r="J48" s="69">
        <v>0</v>
      </c>
      <c r="K48" s="69">
        <v>-0.28999999999999998</v>
      </c>
      <c r="L48">
        <v>42.3</v>
      </c>
      <c r="M48" t="s">
        <v>267</v>
      </c>
      <c r="N48" t="s">
        <v>425</v>
      </c>
      <c r="O48">
        <v>212.16</v>
      </c>
    </row>
    <row r="49" spans="1:15" x14ac:dyDescent="0.25">
      <c r="A49" t="s">
        <v>224</v>
      </c>
      <c r="B49" t="s">
        <v>270</v>
      </c>
      <c r="C49" t="s">
        <v>112</v>
      </c>
      <c r="D49">
        <v>125.5</v>
      </c>
      <c r="E49">
        <v>0.5</v>
      </c>
      <c r="F49">
        <v>101.8</v>
      </c>
      <c r="G49">
        <v>0.45</v>
      </c>
      <c r="H49">
        <v>46</v>
      </c>
      <c r="I49" s="69">
        <v>-0.28000000000000003</v>
      </c>
      <c r="J49" s="69">
        <v>0</v>
      </c>
      <c r="K49" s="69">
        <v>-0.28999999999999998</v>
      </c>
      <c r="L49">
        <v>42.3</v>
      </c>
      <c r="M49" t="s">
        <v>267</v>
      </c>
      <c r="N49" t="s">
        <v>426</v>
      </c>
      <c r="O49">
        <v>212.16</v>
      </c>
    </row>
    <row r="50" spans="1:15" x14ac:dyDescent="0.25">
      <c r="A50" t="s">
        <v>224</v>
      </c>
      <c r="B50" t="s">
        <v>271</v>
      </c>
      <c r="C50" t="s">
        <v>112</v>
      </c>
      <c r="D50">
        <v>122.8</v>
      </c>
      <c r="E50">
        <v>0.5</v>
      </c>
      <c r="F50">
        <v>90.1</v>
      </c>
      <c r="G50">
        <v>0.45</v>
      </c>
      <c r="H50">
        <v>40</v>
      </c>
      <c r="I50" s="69">
        <v>-0.28000000000000003</v>
      </c>
      <c r="J50" s="69">
        <v>0</v>
      </c>
      <c r="K50" s="69">
        <v>-0.28999999999999998</v>
      </c>
      <c r="L50">
        <v>42.3</v>
      </c>
      <c r="M50" t="s">
        <v>267</v>
      </c>
      <c r="N50" t="s">
        <v>427</v>
      </c>
      <c r="O50">
        <v>207.6</v>
      </c>
    </row>
    <row r="51" spans="1:15" x14ac:dyDescent="0.25">
      <c r="A51" s="55" t="s">
        <v>213</v>
      </c>
      <c r="B51" t="s">
        <v>272</v>
      </c>
      <c r="C51" t="s">
        <v>273</v>
      </c>
      <c r="D51" s="55" t="s">
        <v>215</v>
      </c>
      <c r="E51" s="55" t="s">
        <v>215</v>
      </c>
      <c r="F51" s="55" t="s">
        <v>215</v>
      </c>
      <c r="G51" s="55" t="s">
        <v>215</v>
      </c>
      <c r="H51">
        <v>530</v>
      </c>
      <c r="I51" s="69" t="s">
        <v>215</v>
      </c>
      <c r="J51" s="69">
        <v>0</v>
      </c>
      <c r="K51" s="69">
        <v>-0.36</v>
      </c>
      <c r="L51">
        <v>56.3</v>
      </c>
      <c r="M51" t="s">
        <v>274</v>
      </c>
      <c r="N51" t="s">
        <v>428</v>
      </c>
      <c r="O51">
        <v>78</v>
      </c>
    </row>
    <row r="52" spans="1:15" x14ac:dyDescent="0.25">
      <c r="A52" t="s">
        <v>224</v>
      </c>
      <c r="B52" t="s">
        <v>275</v>
      </c>
      <c r="C52" t="s">
        <v>112</v>
      </c>
      <c r="D52">
        <v>124.2</v>
      </c>
      <c r="E52">
        <v>1.21</v>
      </c>
      <c r="F52">
        <v>96</v>
      </c>
      <c r="G52">
        <v>1.1100000000000001</v>
      </c>
      <c r="H52">
        <v>108</v>
      </c>
      <c r="I52" s="69">
        <v>-0.28000000000000003</v>
      </c>
      <c r="J52" s="69">
        <v>0</v>
      </c>
      <c r="K52" s="69">
        <v>-0.23899999999999999</v>
      </c>
      <c r="L52">
        <v>51.6</v>
      </c>
      <c r="M52" t="s">
        <v>254</v>
      </c>
      <c r="N52" t="s">
        <v>429</v>
      </c>
      <c r="O52">
        <v>209.96</v>
      </c>
    </row>
    <row r="53" spans="1:15" x14ac:dyDescent="0.25">
      <c r="A53" t="s">
        <v>224</v>
      </c>
      <c r="B53" t="s">
        <v>276</v>
      </c>
      <c r="C53" t="s">
        <v>112</v>
      </c>
      <c r="D53">
        <v>124.2</v>
      </c>
      <c r="E53">
        <v>1.0900000000000001</v>
      </c>
      <c r="F53">
        <v>93.6</v>
      </c>
      <c r="G53">
        <v>0.89</v>
      </c>
      <c r="H53">
        <v>95</v>
      </c>
      <c r="I53" s="69">
        <v>-0.28000000000000003</v>
      </c>
      <c r="J53" s="69">
        <v>0</v>
      </c>
      <c r="K53" s="69">
        <v>-0.23899999999999999</v>
      </c>
      <c r="L53">
        <v>51.6</v>
      </c>
      <c r="M53" t="s">
        <v>254</v>
      </c>
      <c r="N53" t="s">
        <v>430</v>
      </c>
      <c r="O53">
        <v>209.96</v>
      </c>
    </row>
    <row r="54" spans="1:15" x14ac:dyDescent="0.25">
      <c r="A54" t="s">
        <v>224</v>
      </c>
      <c r="B54" t="s">
        <v>277</v>
      </c>
      <c r="C54" t="s">
        <v>112</v>
      </c>
      <c r="D54">
        <v>124.2</v>
      </c>
      <c r="E54">
        <v>0.97</v>
      </c>
      <c r="F54">
        <v>93.6</v>
      </c>
      <c r="G54">
        <v>0.89</v>
      </c>
      <c r="H54">
        <v>83</v>
      </c>
      <c r="I54" s="69">
        <v>-0.28000000000000003</v>
      </c>
      <c r="J54" s="69">
        <v>0</v>
      </c>
      <c r="K54" s="69">
        <v>-0.23899999999999999</v>
      </c>
      <c r="L54">
        <v>51.6</v>
      </c>
      <c r="M54" t="s">
        <v>254</v>
      </c>
      <c r="N54" t="s">
        <v>431</v>
      </c>
      <c r="O54">
        <v>209.96</v>
      </c>
    </row>
    <row r="55" spans="1:15" x14ac:dyDescent="0.25">
      <c r="A55" t="s">
        <v>224</v>
      </c>
      <c r="B55" t="s">
        <v>278</v>
      </c>
      <c r="C55" t="s">
        <v>112</v>
      </c>
      <c r="D55">
        <v>124.2</v>
      </c>
      <c r="E55">
        <v>0.72</v>
      </c>
      <c r="F55">
        <v>89.6</v>
      </c>
      <c r="G55">
        <v>0.66</v>
      </c>
      <c r="H55">
        <v>60</v>
      </c>
      <c r="I55" s="69">
        <v>-0.28000000000000003</v>
      </c>
      <c r="J55" s="69">
        <v>0</v>
      </c>
      <c r="K55" s="69">
        <v>-0.23899999999999999</v>
      </c>
      <c r="L55">
        <v>51.6</v>
      </c>
      <c r="M55" t="s">
        <v>254</v>
      </c>
      <c r="N55" t="s">
        <v>432</v>
      </c>
      <c r="O55">
        <v>209.96</v>
      </c>
    </row>
    <row r="56" spans="1:15" x14ac:dyDescent="0.25">
      <c r="A56" t="s">
        <v>224</v>
      </c>
      <c r="B56" t="s">
        <v>279</v>
      </c>
      <c r="C56" t="s">
        <v>112</v>
      </c>
      <c r="D56">
        <v>124.2</v>
      </c>
      <c r="E56">
        <v>2.48</v>
      </c>
      <c r="F56">
        <v>96</v>
      </c>
      <c r="G56">
        <v>2.2599999999999998</v>
      </c>
      <c r="H56">
        <v>217</v>
      </c>
      <c r="I56" s="69">
        <v>-0.28000000000000003</v>
      </c>
      <c r="J56" s="69">
        <v>0</v>
      </c>
      <c r="K56" s="69">
        <v>-0.23899999999999999</v>
      </c>
      <c r="L56">
        <v>51.6</v>
      </c>
      <c r="M56" t="s">
        <v>254</v>
      </c>
      <c r="N56" t="s">
        <v>433</v>
      </c>
      <c r="O56">
        <v>209.96</v>
      </c>
    </row>
    <row r="57" spans="1:15" x14ac:dyDescent="0.25">
      <c r="A57" t="s">
        <v>224</v>
      </c>
      <c r="B57" t="s">
        <v>280</v>
      </c>
      <c r="C57" t="s">
        <v>112</v>
      </c>
      <c r="D57">
        <v>124.2</v>
      </c>
      <c r="E57">
        <v>2.23</v>
      </c>
      <c r="F57">
        <v>94.9</v>
      </c>
      <c r="G57">
        <v>2.0299999999999998</v>
      </c>
      <c r="H57">
        <v>193</v>
      </c>
      <c r="I57" s="69">
        <v>-0.28000000000000003</v>
      </c>
      <c r="J57" s="69">
        <v>0</v>
      </c>
      <c r="K57" s="69">
        <v>-0.23899999999999999</v>
      </c>
      <c r="L57">
        <v>51.6</v>
      </c>
      <c r="M57" t="s">
        <v>254</v>
      </c>
      <c r="N57" t="s">
        <v>434</v>
      </c>
      <c r="O57">
        <v>209.96</v>
      </c>
    </row>
    <row r="58" spans="1:15" x14ac:dyDescent="0.25">
      <c r="A58" t="s">
        <v>224</v>
      </c>
      <c r="B58" t="s">
        <v>281</v>
      </c>
      <c r="C58" t="s">
        <v>112</v>
      </c>
      <c r="D58">
        <v>124.2</v>
      </c>
      <c r="E58">
        <v>1.98</v>
      </c>
      <c r="F58">
        <v>93.6</v>
      </c>
      <c r="G58">
        <v>1.81</v>
      </c>
      <c r="H58">
        <v>169</v>
      </c>
      <c r="I58" s="69">
        <v>-0.28000000000000003</v>
      </c>
      <c r="J58" s="69">
        <v>0</v>
      </c>
      <c r="K58" s="69">
        <v>-0.23899999999999999</v>
      </c>
      <c r="L58">
        <v>51.6</v>
      </c>
      <c r="M58" t="s">
        <v>254</v>
      </c>
      <c r="N58" t="s">
        <v>435</v>
      </c>
      <c r="O58">
        <v>209.96</v>
      </c>
    </row>
    <row r="59" spans="1:15" x14ac:dyDescent="0.25">
      <c r="A59" t="s">
        <v>224</v>
      </c>
      <c r="B59" t="s">
        <v>282</v>
      </c>
      <c r="C59" t="s">
        <v>112</v>
      </c>
      <c r="D59">
        <v>124.2</v>
      </c>
      <c r="E59">
        <v>1.48</v>
      </c>
      <c r="F59">
        <v>89.6</v>
      </c>
      <c r="G59">
        <v>1.36</v>
      </c>
      <c r="H59">
        <v>121.5</v>
      </c>
      <c r="I59" s="69">
        <v>-0.28000000000000003</v>
      </c>
      <c r="J59" s="69">
        <v>0</v>
      </c>
      <c r="K59" s="69">
        <v>-0.23899999999999999</v>
      </c>
      <c r="L59">
        <v>51.6</v>
      </c>
      <c r="M59" t="s">
        <v>254</v>
      </c>
      <c r="N59" t="s">
        <v>436</v>
      </c>
      <c r="O59">
        <v>209.96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AF493-AF4C-4552-B716-3FDB4ED37F7D}">
  <sheetPr codeName="Hoja10"/>
  <dimension ref="A1:K43"/>
  <sheetViews>
    <sheetView topLeftCell="A22" workbookViewId="0">
      <selection activeCell="E19" sqref="E19"/>
    </sheetView>
  </sheetViews>
  <sheetFormatPr baseColWidth="10" defaultRowHeight="15" x14ac:dyDescent="0.25"/>
  <cols>
    <col min="1" max="1" width="29.28515625" customWidth="1"/>
    <col min="2" max="2" width="34" bestFit="1" customWidth="1"/>
    <col min="3" max="3" width="17.28515625" bestFit="1" customWidth="1"/>
    <col min="4" max="4" width="22.140625" customWidth="1"/>
    <col min="5" max="5" width="18.28515625" bestFit="1" customWidth="1"/>
    <col min="6" max="6" width="23.42578125" bestFit="1" customWidth="1"/>
    <col min="7" max="7" width="22.28515625" bestFit="1" customWidth="1"/>
    <col min="8" max="8" width="26.28515625" customWidth="1"/>
    <col min="9" max="10" width="23.28515625" bestFit="1" customWidth="1"/>
    <col min="11" max="11" width="25.28515625" bestFit="1" customWidth="1"/>
    <col min="12" max="18" width="35" bestFit="1" customWidth="1"/>
    <col min="19" max="22" width="17.28515625" bestFit="1" customWidth="1"/>
    <col min="23" max="26" width="18.28515625" bestFit="1" customWidth="1"/>
  </cols>
  <sheetData>
    <row r="1" spans="1:11" ht="17.25" x14ac:dyDescent="0.3">
      <c r="A1" s="23" t="s">
        <v>295</v>
      </c>
    </row>
    <row r="2" spans="1:11" x14ac:dyDescent="0.25">
      <c r="A2" s="24" t="s">
        <v>294</v>
      </c>
    </row>
    <row r="4" spans="1:11" x14ac:dyDescent="0.25">
      <c r="A4" s="30" t="s">
        <v>164</v>
      </c>
      <c r="B4" s="30" t="s">
        <v>293</v>
      </c>
      <c r="C4" s="30" t="s">
        <v>286</v>
      </c>
      <c r="D4" s="30" t="s">
        <v>283</v>
      </c>
      <c r="E4" s="30">
        <v>200</v>
      </c>
      <c r="F4" s="30" t="s">
        <v>287</v>
      </c>
      <c r="G4" s="30" t="s">
        <v>288</v>
      </c>
      <c r="H4" s="30" t="s">
        <v>289</v>
      </c>
      <c r="I4" s="30" t="s">
        <v>290</v>
      </c>
      <c r="J4" s="30" t="s">
        <v>291</v>
      </c>
      <c r="K4" s="30" t="s">
        <v>292</v>
      </c>
    </row>
    <row r="5" spans="1:11" x14ac:dyDescent="0.25">
      <c r="A5" s="43" t="s">
        <v>224</v>
      </c>
      <c r="B5" s="51">
        <v>0.72793166233312112</v>
      </c>
      <c r="C5" s="51">
        <v>0.6985869668976793</v>
      </c>
      <c r="D5" s="51">
        <v>0.70694307846263804</v>
      </c>
      <c r="E5" s="30">
        <v>200</v>
      </c>
      <c r="F5" s="51">
        <v>0.75470304476098005</v>
      </c>
      <c r="G5" s="51">
        <v>0.74834940879800427</v>
      </c>
      <c r="H5" s="51">
        <v>0.74437222851871909</v>
      </c>
      <c r="I5" s="51">
        <v>0.76090741083210744</v>
      </c>
      <c r="J5" s="51">
        <v>0.72951127375129987</v>
      </c>
      <c r="K5" s="51">
        <v>0.7420735237379138</v>
      </c>
    </row>
    <row r="6" spans="1:11" x14ac:dyDescent="0.25">
      <c r="A6" s="43">
        <v>75</v>
      </c>
      <c r="B6" s="51">
        <v>0.74867202667463084</v>
      </c>
      <c r="C6" s="51">
        <v>0.72536752936271853</v>
      </c>
      <c r="D6" s="51">
        <v>0.73154193519914834</v>
      </c>
      <c r="E6" s="30">
        <v>200</v>
      </c>
      <c r="F6" s="51">
        <v>0.76774194457994327</v>
      </c>
      <c r="G6" s="51">
        <v>0.76450129480241058</v>
      </c>
      <c r="H6" s="51">
        <v>0.76194806675854587</v>
      </c>
      <c r="I6" s="51">
        <v>0.77379848796862316</v>
      </c>
      <c r="J6" s="51">
        <v>0.75094678037258578</v>
      </c>
      <c r="K6" s="51">
        <v>0.75669626521875433</v>
      </c>
    </row>
    <row r="7" spans="1:11" x14ac:dyDescent="0.25">
      <c r="A7" s="43">
        <v>100</v>
      </c>
      <c r="B7" s="51">
        <v>0.7584748041719046</v>
      </c>
      <c r="C7" s="51">
        <v>0.73759602973635796</v>
      </c>
      <c r="D7" s="51">
        <v>0.74264535513705221</v>
      </c>
      <c r="E7" s="30">
        <v>200</v>
      </c>
      <c r="F7" s="51">
        <v>0.77345175707340308</v>
      </c>
      <c r="G7" s="51">
        <v>0.77254328982795994</v>
      </c>
      <c r="H7" s="51">
        <v>0.77027342687681088</v>
      </c>
      <c r="I7" s="51">
        <v>0.77998175050009888</v>
      </c>
      <c r="J7" s="51">
        <v>0.76115158948913963</v>
      </c>
      <c r="K7" s="51">
        <v>0.76258578896925122</v>
      </c>
    </row>
    <row r="8" spans="1:11" x14ac:dyDescent="0.25">
      <c r="A8" s="43" t="s">
        <v>224</v>
      </c>
      <c r="B8" s="51">
        <v>0.76369161477772463</v>
      </c>
      <c r="C8" s="51">
        <v>0.74374748635151544</v>
      </c>
      <c r="D8" s="51">
        <v>0.74813113048152247</v>
      </c>
      <c r="E8" s="30">
        <v>200</v>
      </c>
      <c r="F8" s="51">
        <v>0.77607043146619459</v>
      </c>
      <c r="G8" s="51">
        <v>0.77690066684922454</v>
      </c>
      <c r="H8" s="51">
        <v>0.77501399101668811</v>
      </c>
      <c r="I8" s="51">
        <v>0.78342417196000991</v>
      </c>
      <c r="J8" s="51">
        <v>0.76720973796198122</v>
      </c>
      <c r="K8" s="51">
        <v>0.76486278033064281</v>
      </c>
    </row>
    <row r="9" spans="1:11" x14ac:dyDescent="0.25">
      <c r="A9" s="43" t="s">
        <v>224</v>
      </c>
      <c r="B9" s="51">
        <v>0.76652271205099598</v>
      </c>
      <c r="C9" s="51">
        <v>0.74677347046796683</v>
      </c>
      <c r="D9" s="51">
        <v>0.75072108551809247</v>
      </c>
      <c r="E9" s="51">
        <v>0.74451484079487051</v>
      </c>
      <c r="F9" s="51">
        <v>0.77707516344636796</v>
      </c>
      <c r="G9" s="51">
        <v>0.77939513269016425</v>
      </c>
      <c r="H9" s="51">
        <v>0.77769822124232169</v>
      </c>
      <c r="I9" s="51">
        <v>0.78530200842241682</v>
      </c>
      <c r="J9" s="51">
        <v>0.77057884680778932</v>
      </c>
      <c r="K9" s="51">
        <v>0.76524238795438704</v>
      </c>
    </row>
    <row r="10" spans="1:11" x14ac:dyDescent="0.25">
      <c r="A10" s="43" t="s">
        <v>224</v>
      </c>
      <c r="B10" s="51">
        <v>0.76795294304602213</v>
      </c>
      <c r="C10" s="51">
        <v>0.7479583667738966</v>
      </c>
      <c r="D10" s="51">
        <v>0.75160834133723053</v>
      </c>
      <c r="E10" s="51">
        <v>0.74589299730335767</v>
      </c>
      <c r="F10" s="51">
        <v>0.77711818831869017</v>
      </c>
      <c r="G10" s="51">
        <v>0.78081743098398548</v>
      </c>
      <c r="H10" s="51">
        <v>0.77922811390802504</v>
      </c>
      <c r="I10" s="51">
        <v>0.78624901356928012</v>
      </c>
      <c r="J10" s="51">
        <v>0.77274628160823455</v>
      </c>
      <c r="K10" s="51">
        <v>0.76453701470919722</v>
      </c>
    </row>
    <row r="11" spans="1:11" x14ac:dyDescent="0.25">
      <c r="A11" s="43" t="s">
        <v>224</v>
      </c>
      <c r="B11" s="51">
        <v>0.76847262428485097</v>
      </c>
      <c r="C11" s="51">
        <v>0.74797264380031525</v>
      </c>
      <c r="D11" s="51">
        <v>0.75141295067703007</v>
      </c>
      <c r="E11" s="51">
        <v>0.74603782407581809</v>
      </c>
      <c r="F11" s="51">
        <v>0.7765431094560804</v>
      </c>
      <c r="G11" s="51">
        <v>0.78150892889438861</v>
      </c>
      <c r="H11" s="51">
        <v>0.78003292524276069</v>
      </c>
      <c r="I11" s="51">
        <v>0.78663989639963738</v>
      </c>
      <c r="J11" s="51">
        <v>0.77389155249164543</v>
      </c>
      <c r="K11" s="51">
        <v>0.7630843144951811</v>
      </c>
    </row>
    <row r="12" spans="1:11" x14ac:dyDescent="0.25">
      <c r="A12" s="43" t="s">
        <v>224</v>
      </c>
      <c r="B12" s="51">
        <v>0.76837030259931194</v>
      </c>
      <c r="C12" s="51">
        <v>0.74717388514876226</v>
      </c>
      <c r="D12" s="51">
        <v>0.75047106022196275</v>
      </c>
      <c r="E12" s="51">
        <v>0.74534005469582065</v>
      </c>
      <c r="F12" s="51">
        <v>0.77554151452126374</v>
      </c>
      <c r="G12" s="51">
        <v>0.78170793667835392</v>
      </c>
      <c r="H12" s="51">
        <v>0.78028297216164044</v>
      </c>
      <c r="I12" s="51">
        <v>0.78659611590663181</v>
      </c>
      <c r="J12" s="51">
        <v>0.77445991956066795</v>
      </c>
      <c r="K12" s="51">
        <v>0.76115735866361744</v>
      </c>
    </row>
    <row r="13" spans="1:11" x14ac:dyDescent="0.25">
      <c r="A13" s="43" t="s">
        <v>224</v>
      </c>
      <c r="B13" s="51">
        <v>0.76781921320611135</v>
      </c>
      <c r="C13" s="51">
        <v>0.74581885072677634</v>
      </c>
      <c r="D13" s="51">
        <v>0.74900210792385824</v>
      </c>
      <c r="E13" s="51">
        <v>0.74405744105102023</v>
      </c>
      <c r="F13" s="51">
        <v>0.77422940974866239</v>
      </c>
      <c r="G13" s="51">
        <v>0.78155356715625135</v>
      </c>
      <c r="H13" s="51">
        <v>0.7801890324022116</v>
      </c>
      <c r="I13" s="51">
        <v>0.78629259346452551</v>
      </c>
      <c r="J13" s="51">
        <v>0.77454402969645186</v>
      </c>
      <c r="K13" s="51">
        <v>0.758911043754671</v>
      </c>
    </row>
    <row r="14" spans="1:11" x14ac:dyDescent="0.25">
      <c r="A14" s="43" t="s">
        <v>224</v>
      </c>
      <c r="B14" s="51">
        <v>0.76693246281749838</v>
      </c>
      <c r="C14" s="51">
        <v>0.74403043202809527</v>
      </c>
      <c r="D14" s="51">
        <v>0.74713911705399427</v>
      </c>
      <c r="E14" s="51">
        <v>0.74232455024664534</v>
      </c>
      <c r="F14" s="51">
        <v>0.77268631841146462</v>
      </c>
      <c r="G14" s="51">
        <v>0.78112746247075848</v>
      </c>
      <c r="H14" s="51">
        <v>0.77978792577703426</v>
      </c>
      <c r="I14" s="51">
        <v>0.7857439971255048</v>
      </c>
      <c r="J14" s="51">
        <v>0.77428965944772599</v>
      </c>
      <c r="K14" s="51">
        <v>0.75639134138856412</v>
      </c>
    </row>
    <row r="15" spans="1:11" x14ac:dyDescent="0.25">
      <c r="A15" s="43" t="s">
        <v>224</v>
      </c>
      <c r="B15" s="51">
        <v>0.76578589909610406</v>
      </c>
      <c r="C15" s="51">
        <v>0.74191677913170695</v>
      </c>
      <c r="D15" s="51">
        <v>0.74497564287419549</v>
      </c>
      <c r="E15" s="51">
        <v>0.74025563689689344</v>
      </c>
      <c r="F15" s="51">
        <v>0.77096533541304801</v>
      </c>
      <c r="G15" s="51">
        <v>0.78049061637877204</v>
      </c>
      <c r="H15" s="51">
        <v>0.77917264511244544</v>
      </c>
      <c r="I15" s="51">
        <v>0.78502957034702947</v>
      </c>
      <c r="J15" s="51">
        <v>0.77376639408202708</v>
      </c>
      <c r="K15" s="51">
        <v>0.75366844320689153</v>
      </c>
    </row>
    <row r="16" spans="1:11" x14ac:dyDescent="0.25">
      <c r="A16" s="43" t="s">
        <v>224</v>
      </c>
      <c r="B16" s="51">
        <v>0.76443425456460246</v>
      </c>
      <c r="C16" s="51">
        <v>0.73955231236720254</v>
      </c>
      <c r="D16" s="51">
        <v>0.74257723395340292</v>
      </c>
      <c r="E16" s="51">
        <v>0.7379234782640911</v>
      </c>
      <c r="F16" s="51">
        <v>0.76910278152995948</v>
      </c>
      <c r="G16" s="51">
        <v>0.77968629369309339</v>
      </c>
      <c r="H16" s="51">
        <v>0.77917264511244544</v>
      </c>
      <c r="I16" s="51">
        <v>0.78416734982056135</v>
      </c>
      <c r="J16" s="51">
        <v>0.77302619849236576</v>
      </c>
      <c r="K16" s="51">
        <v>0.75079011176154242</v>
      </c>
    </row>
    <row r="17" spans="1:11" x14ac:dyDescent="0.25">
      <c r="A17" s="43" t="s">
        <v>224</v>
      </c>
      <c r="B17" s="51">
        <v>0.76291646564904259</v>
      </c>
      <c r="C17" s="51">
        <v>0.73699052390773268</v>
      </c>
      <c r="D17" s="51">
        <v>0.73999144016712048</v>
      </c>
      <c r="E17" s="51">
        <v>0.73537950844015876</v>
      </c>
      <c r="F17" s="51">
        <v>0.76712612380974865</v>
      </c>
      <c r="G17" s="51">
        <v>0.7787455261952827</v>
      </c>
      <c r="H17" s="51">
        <v>0.77917264511244544</v>
      </c>
      <c r="I17" s="51">
        <v>0.78320849568230144</v>
      </c>
      <c r="J17" s="51">
        <v>0.77213312291506075</v>
      </c>
      <c r="K17" s="51">
        <v>0.74779170628682801</v>
      </c>
    </row>
    <row r="18" spans="1:11" x14ac:dyDescent="0.25">
      <c r="A18" s="43" t="s">
        <v>224</v>
      </c>
      <c r="B18" s="51">
        <v>0.76126176337724083</v>
      </c>
      <c r="C18" s="51">
        <v>0.73426024008711965</v>
      </c>
      <c r="D18" s="51">
        <v>0.73725368892405929</v>
      </c>
      <c r="E18" s="51">
        <v>0.73266531254006939</v>
      </c>
      <c r="F18" s="51">
        <v>0.76505602340790479</v>
      </c>
      <c r="G18" s="51">
        <v>0.77769013519618224</v>
      </c>
      <c r="H18" s="51">
        <v>0.77917264511244544</v>
      </c>
      <c r="I18" s="51">
        <v>0.78214528885733126</v>
      </c>
      <c r="J18" s="51">
        <v>0.77110157699602211</v>
      </c>
      <c r="K18" s="51">
        <v>0.74468120028196894</v>
      </c>
    </row>
    <row r="19" spans="1:11" x14ac:dyDescent="0.25">
      <c r="A19" s="43" t="s">
        <v>224</v>
      </c>
      <c r="B19" s="51">
        <v>0.75949009970622516</v>
      </c>
      <c r="C19" s="51">
        <v>0.73139531357696386</v>
      </c>
      <c r="D19" s="51">
        <v>0.73439112287295072</v>
      </c>
      <c r="E19" s="51">
        <v>0.72981076715640536</v>
      </c>
      <c r="F19" s="51">
        <v>0.7629078542413672</v>
      </c>
      <c r="G19" s="51">
        <v>0.77653995246318563</v>
      </c>
      <c r="H19" s="51">
        <v>0.77917264511244544</v>
      </c>
      <c r="I19" s="51">
        <v>0.78100283493173117</v>
      </c>
      <c r="J19" s="51">
        <v>0.76993854446709964</v>
      </c>
      <c r="K19" s="51">
        <v>0.74150439558869674</v>
      </c>
    </row>
    <row r="20" spans="1:11" x14ac:dyDescent="0.25">
      <c r="A20" s="43" t="s">
        <v>224</v>
      </c>
      <c r="B20" s="51">
        <v>0.75762433381638339</v>
      </c>
      <c r="C20" s="51">
        <v>0.7284186399596897</v>
      </c>
      <c r="D20" s="51">
        <v>0.73142456148008494</v>
      </c>
      <c r="E20" s="51">
        <v>0.72683824858448076</v>
      </c>
      <c r="F20" s="51">
        <v>0.76069395291940811</v>
      </c>
      <c r="G20" s="51">
        <v>0.77530661740772211</v>
      </c>
      <c r="H20" s="51">
        <v>0.77917264511244544</v>
      </c>
      <c r="I20" s="51">
        <v>0.77979108442921619</v>
      </c>
      <c r="J20" s="51">
        <v>0.76867268608894168</v>
      </c>
      <c r="K20" s="51">
        <v>0.73826823944859965</v>
      </c>
    </row>
    <row r="21" spans="1:11" x14ac:dyDescent="0.25">
      <c r="A21" s="43" t="s">
        <v>224</v>
      </c>
      <c r="B21" s="51">
        <v>0.75567264143569945</v>
      </c>
      <c r="C21" s="51">
        <v>0.72534740337758907</v>
      </c>
      <c r="D21" s="51">
        <v>0.72837096777933819</v>
      </c>
      <c r="E21" s="51">
        <v>0.72376710039846626</v>
      </c>
      <c r="F21" s="51">
        <v>0.75842414180928019</v>
      </c>
      <c r="G21" s="51">
        <v>0.77400244208647406</v>
      </c>
      <c r="H21" s="51">
        <v>0.77917264511244544</v>
      </c>
      <c r="I21" s="51">
        <v>0.77852037835571608</v>
      </c>
      <c r="J21" s="51">
        <v>0.76731510674255088</v>
      </c>
      <c r="K21" s="51">
        <v>0.73496683021422538</v>
      </c>
    </row>
    <row r="22" spans="1:11" x14ac:dyDescent="0.25">
      <c r="A22" s="43" t="s">
        <v>224</v>
      </c>
      <c r="B22" s="51">
        <v>0.75365137193824161</v>
      </c>
      <c r="C22" s="51">
        <v>0.72219569886930535</v>
      </c>
      <c r="D22" s="51">
        <v>0.72524385951678894</v>
      </c>
      <c r="E22" s="51">
        <v>0.72061430666202131</v>
      </c>
      <c r="F22" s="51">
        <v>0.75610626940830217</v>
      </c>
      <c r="G22" s="51">
        <v>0.77263519050717999</v>
      </c>
      <c r="H22" s="51">
        <v>0.77917264511244544</v>
      </c>
      <c r="I22" s="51">
        <v>0.77719863749118301</v>
      </c>
      <c r="J22" s="51">
        <v>0.76587845069475402</v>
      </c>
      <c r="K22" s="51">
        <v>0.73161619147215984</v>
      </c>
    </row>
    <row r="23" spans="1:11" x14ac:dyDescent="0.25">
      <c r="A23" s="43" t="s">
        <v>224</v>
      </c>
      <c r="B23" s="51">
        <v>0.75156487245457881</v>
      </c>
      <c r="C23" s="51">
        <v>0.71898102564564315</v>
      </c>
      <c r="D23" s="51">
        <v>0.72205469041066983</v>
      </c>
      <c r="E23" s="51">
        <v>0.71739203370744309</v>
      </c>
      <c r="F23" s="51">
        <v>0.75374724780330937</v>
      </c>
      <c r="G23" s="51">
        <v>0.7712136408203859</v>
      </c>
      <c r="H23" s="51">
        <v>0.77917264511244544</v>
      </c>
      <c r="I23" s="51">
        <v>0.77583138411994368</v>
      </c>
      <c r="J23" s="51">
        <v>0.7643828896692163</v>
      </c>
      <c r="K23" s="51">
        <v>0.72823574621104081</v>
      </c>
    </row>
    <row r="24" spans="1:11" x14ac:dyDescent="0.25">
      <c r="A24" s="43" t="s">
        <v>224</v>
      </c>
      <c r="B24" s="51">
        <v>0.74942453624008942</v>
      </c>
      <c r="C24" s="51">
        <v>0.71570763020664796</v>
      </c>
      <c r="D24" s="51">
        <v>0.71881293536987834</v>
      </c>
      <c r="E24" s="51">
        <v>0.71410820142395692</v>
      </c>
      <c r="F24" s="51">
        <v>0.75135216877457933</v>
      </c>
      <c r="G24" s="51">
        <v>0.76974316278996358</v>
      </c>
      <c r="H24" s="51">
        <v>0.77839228374802394</v>
      </c>
      <c r="I24" s="51">
        <v>0.77442184965442429</v>
      </c>
      <c r="J24" s="51">
        <v>0.76282085890081386</v>
      </c>
      <c r="K24" s="51">
        <v>0.72481901483820754</v>
      </c>
    </row>
    <row r="25" spans="1:11" x14ac:dyDescent="0.25">
      <c r="A25" s="43" t="s">
        <v>224</v>
      </c>
      <c r="B25" s="51">
        <v>0.74723535114418538</v>
      </c>
      <c r="C25" s="51">
        <v>0.71238670137945304</v>
      </c>
      <c r="D25" s="51">
        <v>0.71552693965041958</v>
      </c>
      <c r="E25" s="51">
        <v>0.71077649432808832</v>
      </c>
      <c r="F25" s="51">
        <v>0.7489264690091415</v>
      </c>
      <c r="G25" s="51">
        <v>0.76822912370335072</v>
      </c>
      <c r="H25" s="51">
        <v>0.76685988192236365</v>
      </c>
      <c r="I25" s="51">
        <v>0.77297772991543667</v>
      </c>
      <c r="J25" s="51">
        <v>0.76120479055076762</v>
      </c>
      <c r="K25" s="51">
        <v>0.72137373511474345</v>
      </c>
    </row>
    <row r="26" spans="1:11" x14ac:dyDescent="0.25">
      <c r="A26" s="43" t="s">
        <v>224</v>
      </c>
      <c r="B26" s="51">
        <v>0.74500388056180167</v>
      </c>
      <c r="C26" s="51">
        <v>0.70902545573826903</v>
      </c>
      <c r="D26" s="51">
        <v>0.71220367499780046</v>
      </c>
      <c r="E26" s="51">
        <v>0.70740312562752006</v>
      </c>
      <c r="F26" s="51">
        <v>0.74647381225499465</v>
      </c>
      <c r="G26" s="51">
        <v>0.76667679775170727</v>
      </c>
      <c r="H26" s="51">
        <v>0.76528540898814712</v>
      </c>
      <c r="I26" s="51">
        <v>0.77150273166776318</v>
      </c>
      <c r="J26" s="51">
        <v>0.75953954388459388</v>
      </c>
      <c r="K26" s="51">
        <v>0.71790891569864201</v>
      </c>
    </row>
    <row r="27" spans="1:11" x14ac:dyDescent="0.25">
      <c r="A27" s="43" t="s">
        <v>224</v>
      </c>
      <c r="B27" s="51">
        <v>0.74273550901331409</v>
      </c>
      <c r="C27" s="51">
        <v>0.70563154430760844</v>
      </c>
      <c r="D27" s="51">
        <v>0.7088501289307767</v>
      </c>
      <c r="E27" s="51">
        <v>0.70399504425128101</v>
      </c>
      <c r="F27" s="51">
        <v>0.74399815520074475</v>
      </c>
      <c r="G27" s="51">
        <v>0.7650898101243474</v>
      </c>
      <c r="H27" s="51">
        <v>0.76367407965404865</v>
      </c>
      <c r="I27" s="51">
        <v>0.76999782949789597</v>
      </c>
      <c r="J27" s="51">
        <v>0.75783250994159812</v>
      </c>
      <c r="K27" s="51">
        <v>0.71443020503559485</v>
      </c>
    </row>
    <row r="28" spans="1:11" x14ac:dyDescent="0.25">
      <c r="A28" s="43" t="s">
        <v>224</v>
      </c>
      <c r="B28" s="51">
        <v>0.74043426919241617</v>
      </c>
      <c r="C28" s="51">
        <v>0.7022100735694945</v>
      </c>
      <c r="D28" s="51">
        <v>0.70547150900059286</v>
      </c>
      <c r="E28" s="51">
        <v>0.7005580014693632</v>
      </c>
      <c r="F28" s="51">
        <v>0.74150281365928483</v>
      </c>
      <c r="G28" s="51">
        <v>0.76347212740850001</v>
      </c>
      <c r="H28" s="51">
        <v>0.76203218993386179</v>
      </c>
      <c r="I28" s="51">
        <v>0.76846509862034817</v>
      </c>
      <c r="J28" s="51">
        <v>0.75608616411609642</v>
      </c>
      <c r="K28" s="51">
        <v>0.71092885218737123</v>
      </c>
    </row>
    <row r="29" spans="1:11" x14ac:dyDescent="0.25">
      <c r="A29" s="43" t="s">
        <v>224</v>
      </c>
      <c r="B29" s="51">
        <v>0.73810642873705778</v>
      </c>
      <c r="C29" s="51">
        <v>0.69876873227262426</v>
      </c>
      <c r="D29" s="51">
        <v>0.70207495120338781</v>
      </c>
      <c r="E29" s="51">
        <v>0.69709958574230613</v>
      </c>
      <c r="F29" s="51">
        <v>0.73899085921750629</v>
      </c>
      <c r="G29" s="51">
        <v>0.76182742979014484</v>
      </c>
      <c r="H29" s="51">
        <v>0.76036153527871775</v>
      </c>
      <c r="I29" s="51">
        <v>0.76691355244563886</v>
      </c>
      <c r="J29" s="51">
        <v>0.75430562588822336</v>
      </c>
      <c r="K29" s="51">
        <v>0.70742826853979879</v>
      </c>
    </row>
    <row r="30" spans="1:11" x14ac:dyDescent="0.25">
      <c r="A30" s="43" t="s">
        <v>224</v>
      </c>
      <c r="B30" s="51">
        <v>0.73575457896510899</v>
      </c>
      <c r="C30" s="51">
        <v>0.69531097152290144</v>
      </c>
      <c r="D30" s="51">
        <v>0.69866275130432609</v>
      </c>
      <c r="E30" s="51">
        <v>0.69362433184593175</v>
      </c>
      <c r="F30" s="51">
        <v>0.73646521919748098</v>
      </c>
      <c r="G30" s="51">
        <v>0.76015884094238584</v>
      </c>
      <c r="H30" s="51">
        <v>0.75866516115896343</v>
      </c>
      <c r="I30" s="51">
        <v>0.76534159733119123</v>
      </c>
      <c r="J30" s="51">
        <v>0.752493580640475</v>
      </c>
      <c r="K30" s="51">
        <v>0.70391808765072139</v>
      </c>
    </row>
    <row r="31" spans="1:11" x14ac:dyDescent="0.25">
      <c r="A31" s="43" t="s">
        <v>224</v>
      </c>
      <c r="B31" s="51">
        <v>0.73338233745685777</v>
      </c>
      <c r="C31" s="51">
        <v>0.69184271472569436</v>
      </c>
      <c r="D31" s="51">
        <v>0.69524069014120471</v>
      </c>
      <c r="E31" s="51">
        <v>0.69013770948501429</v>
      </c>
      <c r="F31" s="51">
        <v>0.73392865402841234</v>
      </c>
      <c r="G31" s="51">
        <v>0.75846978361486683</v>
      </c>
      <c r="H31" s="51">
        <v>0.75694685798775974</v>
      </c>
      <c r="I31" s="51">
        <v>0.76374877111942907</v>
      </c>
      <c r="J31" s="51">
        <v>0.75065939965771789</v>
      </c>
      <c r="K31" s="51">
        <v>0.70040510856372895</v>
      </c>
    </row>
    <row r="32" spans="1:11" x14ac:dyDescent="0.25">
      <c r="A32" s="43" t="s">
        <v>224</v>
      </c>
      <c r="B32" s="51">
        <v>0.7309959497961932</v>
      </c>
      <c r="C32" s="51">
        <v>0.68836837610909285</v>
      </c>
      <c r="D32" s="51">
        <v>0.69181315290936829</v>
      </c>
      <c r="E32" s="51">
        <v>0.68664422729158026</v>
      </c>
      <c r="F32" s="51">
        <v>0.73138361863809076</v>
      </c>
      <c r="G32" s="51">
        <v>0.75676292959766489</v>
      </c>
      <c r="H32" s="51">
        <v>0.75521163683826331</v>
      </c>
      <c r="I32" s="51">
        <v>0.76214642434986812</v>
      </c>
      <c r="J32" s="51">
        <v>0.74879836382076514</v>
      </c>
      <c r="K32" s="51">
        <v>0.69689304874861135</v>
      </c>
    </row>
    <row r="33" spans="1:11" x14ac:dyDescent="0.25">
      <c r="A33" s="43" t="s">
        <v>224</v>
      </c>
      <c r="B33" s="51">
        <v>0.7285967384608979</v>
      </c>
      <c r="C33" s="51">
        <v>0.68489294804884671</v>
      </c>
      <c r="D33" s="51">
        <v>0.6883842102848311</v>
      </c>
      <c r="E33" s="51">
        <v>0.68314989082578048</v>
      </c>
      <c r="F33" s="51">
        <v>0.72883270959579105</v>
      </c>
      <c r="G33" s="51">
        <v>0.75504206523723838</v>
      </c>
      <c r="H33" s="51">
        <v>0.75346030374355999</v>
      </c>
      <c r="I33" s="51">
        <v>0.76053036316247036</v>
      </c>
      <c r="J33" s="51">
        <v>0.74692542400382778</v>
      </c>
      <c r="K33" s="51">
        <v>13</v>
      </c>
    </row>
    <row r="34" spans="1:11" x14ac:dyDescent="0.25">
      <c r="A34" s="43" t="s">
        <v>224</v>
      </c>
      <c r="B34" s="51">
        <v>0.72618911700726607</v>
      </c>
      <c r="C34" s="51">
        <v>0.68142035068711093</v>
      </c>
      <c r="D34" s="51">
        <v>0.68495853344554092</v>
      </c>
      <c r="E34" s="51">
        <v>0.67965831439589464</v>
      </c>
      <c r="F34" s="51">
        <v>0.72627813280054665</v>
      </c>
      <c r="G34" s="51">
        <v>0.75330922638412579</v>
      </c>
      <c r="H34" s="51">
        <v>200</v>
      </c>
      <c r="I34" s="51">
        <v>0.75890349742725671</v>
      </c>
      <c r="J34" s="51">
        <v>0.7450345288738236</v>
      </c>
      <c r="K34" s="51">
        <v>26</v>
      </c>
    </row>
    <row r="35" spans="1:11" x14ac:dyDescent="0.25">
      <c r="A35" s="43" t="s">
        <v>224</v>
      </c>
      <c r="B35" s="51">
        <v>0.72377660041051273</v>
      </c>
      <c r="C35" s="51">
        <v>0.67795513486492409</v>
      </c>
      <c r="D35" s="51">
        <v>0.68153961894498549</v>
      </c>
      <c r="E35" s="51">
        <v>0.67617415655794522</v>
      </c>
      <c r="F35" s="51">
        <v>0.72372259513562587</v>
      </c>
      <c r="G35" s="51">
        <v>0.75156757536719077</v>
      </c>
      <c r="H35" s="51">
        <v>0.74992437351358243</v>
      </c>
      <c r="I35" s="51">
        <v>0.75726843292714485</v>
      </c>
      <c r="J35" s="51">
        <v>0.74313611456804529</v>
      </c>
      <c r="K35" s="51">
        <v>26</v>
      </c>
    </row>
    <row r="36" spans="1:11" x14ac:dyDescent="0.25">
      <c r="A36" s="43" t="s">
        <v>224</v>
      </c>
      <c r="B36" s="51">
        <v>0.72136271021042386</v>
      </c>
      <c r="C36" s="51">
        <v>0.67450122808671575</v>
      </c>
      <c r="D36" s="51">
        <v>0.67813099163309143</v>
      </c>
      <c r="E36" s="51">
        <v>0.67270163242801717</v>
      </c>
      <c r="F36" s="51">
        <v>0.72116796172846676</v>
      </c>
      <c r="G36" s="51">
        <v>0.74982010255851095</v>
      </c>
      <c r="H36" s="51">
        <v>0.74814537198415032</v>
      </c>
      <c r="I36" s="51">
        <v>0.75562879828006935</v>
      </c>
      <c r="J36" s="51">
        <v>0.74122924943296875</v>
      </c>
      <c r="K36" s="51">
        <v>26</v>
      </c>
    </row>
    <row r="37" spans="1:11" x14ac:dyDescent="0.25">
      <c r="A37" s="43">
        <v>850</v>
      </c>
      <c r="B37" s="51">
        <v>0.71895090858709143</v>
      </c>
      <c r="C37" s="51">
        <v>0.67106258566637766</v>
      </c>
      <c r="D37" s="51">
        <v>0.67473675753034679</v>
      </c>
      <c r="E37" s="51">
        <v>0.66924476716614889</v>
      </c>
      <c r="F37" s="51">
        <v>0.71861669600422906</v>
      </c>
      <c r="G37" s="51">
        <v>0.74806947068226859</v>
      </c>
      <c r="H37" s="51">
        <v>0.74636414713389299</v>
      </c>
      <c r="I37" s="51">
        <v>0.75398417205001667</v>
      </c>
      <c r="J37" s="51">
        <v>0.73931893859636355</v>
      </c>
      <c r="K37" s="51">
        <v>0.67940781693512253</v>
      </c>
    </row>
    <row r="38" spans="1:11" x14ac:dyDescent="0.25">
      <c r="A38" s="43">
        <v>875</v>
      </c>
      <c r="B38" s="51">
        <v>0.71654454390775535</v>
      </c>
      <c r="C38" s="51">
        <v>0.66764286715610788</v>
      </c>
      <c r="D38" s="51">
        <v>0.67136030885488929</v>
      </c>
      <c r="E38" s="51">
        <v>0.66580752471550875</v>
      </c>
      <c r="F38" s="51">
        <v>0.71607076743786124</v>
      </c>
      <c r="G38" s="51">
        <v>0.74631865116994234</v>
      </c>
      <c r="H38" s="51">
        <v>0.74458232708650129</v>
      </c>
      <c r="I38" s="51">
        <v>0.75234272600616126</v>
      </c>
      <c r="J38" s="51">
        <v>0.73740847451703695</v>
      </c>
      <c r="K38" s="51">
        <v>0.6759445603964821</v>
      </c>
    </row>
    <row r="39" spans="1:11" x14ac:dyDescent="0.25">
      <c r="A39" s="43">
        <v>900</v>
      </c>
      <c r="B39" s="51">
        <v>0.7141468424479529</v>
      </c>
      <c r="C39" s="51">
        <v>0.66424625266352377</v>
      </c>
      <c r="D39" s="51">
        <v>0.66800493696214602</v>
      </c>
      <c r="E39" s="51">
        <v>0.6623944457573171</v>
      </c>
      <c r="F39" s="51">
        <v>0.7135323307043745</v>
      </c>
      <c r="G39" s="51">
        <v>0.74456945453296275</v>
      </c>
      <c r="H39" s="51">
        <v>0.74280354767502244</v>
      </c>
      <c r="I39" s="51">
        <v>0.75069960803265823</v>
      </c>
      <c r="J39" s="51">
        <v>0.73550336621374135</v>
      </c>
      <c r="K39" s="51">
        <v>0.67249789012850258</v>
      </c>
    </row>
    <row r="40" spans="1:11" x14ac:dyDescent="0.25">
      <c r="A40" s="43">
        <v>925</v>
      </c>
      <c r="B40" s="51">
        <v>0.71176130753863076</v>
      </c>
      <c r="C40" s="51">
        <v>0.66087595015809009</v>
      </c>
      <c r="D40" s="51">
        <v>0.66467382897683402</v>
      </c>
      <c r="E40" s="51">
        <v>0.65900880367314729</v>
      </c>
      <c r="F40" s="51">
        <v>0.71100333903685109</v>
      </c>
      <c r="G40" s="51">
        <v>0.74282690652356642</v>
      </c>
      <c r="H40" s="51">
        <v>0.7410293357433817</v>
      </c>
      <c r="I40" s="51">
        <v>0.74906143911244938</v>
      </c>
      <c r="J40" s="51">
        <v>0.73360609165669832</v>
      </c>
      <c r="K40" s="51">
        <v>0.66906931149927151</v>
      </c>
    </row>
    <row r="41" spans="1:11" x14ac:dyDescent="0.25">
      <c r="A41" s="43">
        <v>950</v>
      </c>
      <c r="B41" s="51">
        <v>0.70939075189918954</v>
      </c>
      <c r="C41" s="51">
        <v>0.65753509734065596</v>
      </c>
      <c r="D41" s="51">
        <v>0.66137000440658311</v>
      </c>
      <c r="E41" s="51">
        <v>0.65565355516490564</v>
      </c>
      <c r="F41" s="51">
        <v>0.70848582627822609</v>
      </c>
      <c r="G41" s="51">
        <v>0.74109188793062053</v>
      </c>
      <c r="H41" s="51">
        <v>0.73926561995205353</v>
      </c>
      <c r="I41" s="51">
        <v>0.7474282179560251</v>
      </c>
      <c r="J41" s="51">
        <v>0.73171737980731211</v>
      </c>
      <c r="K41" s="51">
        <v>0.66565943195023947</v>
      </c>
    </row>
    <row r="42" spans="1:11" x14ac:dyDescent="0.25">
      <c r="A42" s="43">
        <v>975</v>
      </c>
      <c r="B42" s="51">
        <v>0.70703815297839723</v>
      </c>
      <c r="C42" s="51">
        <v>0.654226893508011</v>
      </c>
      <c r="D42" s="51">
        <v>0.65809667285213191</v>
      </c>
      <c r="E42" s="51">
        <v>0.65233224265574385</v>
      </c>
      <c r="F42" s="51">
        <v>0.70598147454811311</v>
      </c>
      <c r="G42" s="51">
        <v>0.73936681148304817</v>
      </c>
      <c r="H42" s="51">
        <v>0.73751130303808354</v>
      </c>
      <c r="I42" s="51">
        <v>0.7458012638099768</v>
      </c>
      <c r="J42" s="51">
        <v>0.72984550142197957</v>
      </c>
      <c r="K42" s="51">
        <v>0.66227417737923311</v>
      </c>
    </row>
    <row r="43" spans="1:11" x14ac:dyDescent="0.25">
      <c r="A43" s="43">
        <v>1000</v>
      </c>
      <c r="B43" s="51">
        <v>0.70470667395579678</v>
      </c>
      <c r="C43" s="51">
        <v>0.6509540387041296</v>
      </c>
      <c r="D43" s="51">
        <v>0.65485595103044514</v>
      </c>
      <c r="E43" s="51">
        <v>0.64904774491274408</v>
      </c>
      <c r="F43" s="51">
        <v>0.70349210228861414</v>
      </c>
      <c r="G43" s="51">
        <v>0.73765535707140006</v>
      </c>
      <c r="H43" s="51">
        <v>0.73577242072715376</v>
      </c>
      <c r="I43" s="51">
        <v>0.74418623734431577</v>
      </c>
      <c r="J43" s="51">
        <v>0.72799282152353106</v>
      </c>
      <c r="K43" s="51">
        <v>0.65891129167756024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4338E-E3D9-4F8E-A374-DDFE41210F2B}">
  <sheetPr codeName="Hoja11"/>
  <dimension ref="A1:M104"/>
  <sheetViews>
    <sheetView topLeftCell="B85" workbookViewId="0">
      <selection activeCell="F80" sqref="F80"/>
    </sheetView>
  </sheetViews>
  <sheetFormatPr baseColWidth="10" defaultRowHeight="15" x14ac:dyDescent="0.25"/>
  <cols>
    <col min="1" max="1" width="29.7109375" bestFit="1" customWidth="1"/>
    <col min="2" max="2" width="23.5703125" bestFit="1" customWidth="1"/>
    <col min="3" max="3" width="62.85546875" bestFit="1" customWidth="1"/>
    <col min="4" max="4" width="21.85546875" bestFit="1" customWidth="1"/>
    <col min="5" max="5" width="20" bestFit="1" customWidth="1"/>
    <col min="6" max="6" width="19.28515625" bestFit="1" customWidth="1"/>
    <col min="7" max="7" width="19.5703125" bestFit="1" customWidth="1"/>
    <col min="8" max="8" width="30.42578125" bestFit="1" customWidth="1"/>
    <col min="9" max="9" width="10.140625" bestFit="1" customWidth="1"/>
    <col min="10" max="10" width="16.28515625" bestFit="1" customWidth="1"/>
    <col min="11" max="11" width="27.42578125" bestFit="1" customWidth="1"/>
    <col min="12" max="12" width="36.140625" bestFit="1" customWidth="1"/>
    <col min="13" max="13" width="33.140625" bestFit="1" customWidth="1"/>
  </cols>
  <sheetData>
    <row r="1" spans="1:13" ht="17.25" x14ac:dyDescent="0.3">
      <c r="A1" s="23" t="s">
        <v>295</v>
      </c>
    </row>
    <row r="3" spans="1:13" x14ac:dyDescent="0.25">
      <c r="A3" s="30" t="s">
        <v>296</v>
      </c>
      <c r="B3" s="30" t="s">
        <v>297</v>
      </c>
      <c r="C3" s="30" t="s">
        <v>298</v>
      </c>
      <c r="D3" s="30" t="s">
        <v>299</v>
      </c>
      <c r="E3" s="30" t="s">
        <v>300</v>
      </c>
      <c r="F3" s="30" t="s">
        <v>301</v>
      </c>
      <c r="G3" s="30" t="s">
        <v>302</v>
      </c>
      <c r="H3" s="30" t="s">
        <v>303</v>
      </c>
      <c r="I3" s="30" t="s">
        <v>304</v>
      </c>
      <c r="J3" s="30" t="s">
        <v>305</v>
      </c>
      <c r="K3" s="30" t="s">
        <v>306</v>
      </c>
      <c r="L3" s="30" t="s">
        <v>307</v>
      </c>
      <c r="M3" s="30" t="s">
        <v>308</v>
      </c>
    </row>
    <row r="4" spans="1:13" x14ac:dyDescent="0.25">
      <c r="A4" s="69" t="s">
        <v>224</v>
      </c>
      <c r="B4" s="69" t="s">
        <v>309</v>
      </c>
      <c r="C4" s="69" t="s">
        <v>310</v>
      </c>
      <c r="D4" s="69">
        <v>1100</v>
      </c>
      <c r="E4" s="69">
        <v>200</v>
      </c>
      <c r="F4" s="69">
        <v>200</v>
      </c>
      <c r="G4" s="69">
        <v>1000</v>
      </c>
      <c r="H4" s="69">
        <v>200</v>
      </c>
      <c r="I4" s="69">
        <v>2</v>
      </c>
      <c r="J4" s="69">
        <v>1</v>
      </c>
      <c r="K4" s="69">
        <v>27.5</v>
      </c>
      <c r="L4" s="69">
        <v>33.5</v>
      </c>
      <c r="M4" s="69">
        <v>20000</v>
      </c>
    </row>
    <row r="5" spans="1:13" x14ac:dyDescent="0.25">
      <c r="A5" s="69" t="s">
        <v>224</v>
      </c>
      <c r="B5" s="69" t="s">
        <v>311</v>
      </c>
      <c r="C5" s="69" t="s">
        <v>310</v>
      </c>
      <c r="D5" s="69">
        <v>1100</v>
      </c>
      <c r="E5" s="69">
        <v>200</v>
      </c>
      <c r="F5" s="69">
        <v>200</v>
      </c>
      <c r="G5" s="69">
        <v>1000</v>
      </c>
      <c r="H5" s="69">
        <v>200</v>
      </c>
      <c r="I5" s="69">
        <v>2</v>
      </c>
      <c r="J5" s="69">
        <v>1</v>
      </c>
      <c r="K5" s="69">
        <v>27.5</v>
      </c>
      <c r="L5" s="69">
        <v>33.5</v>
      </c>
      <c r="M5" s="69">
        <v>22000</v>
      </c>
    </row>
    <row r="6" spans="1:13" x14ac:dyDescent="0.25">
      <c r="A6" s="69" t="s">
        <v>224</v>
      </c>
      <c r="B6" s="69" t="s">
        <v>312</v>
      </c>
      <c r="C6" s="69" t="s">
        <v>310</v>
      </c>
      <c r="D6" s="69">
        <v>1100</v>
      </c>
      <c r="E6" s="69">
        <v>200</v>
      </c>
      <c r="F6" s="69">
        <v>200</v>
      </c>
      <c r="G6" s="69">
        <v>1000</v>
      </c>
      <c r="H6" s="69">
        <v>200</v>
      </c>
      <c r="I6" s="69">
        <v>2</v>
      </c>
      <c r="J6" s="69">
        <v>1</v>
      </c>
      <c r="K6" s="69">
        <v>27.5</v>
      </c>
      <c r="L6" s="69">
        <v>33.5</v>
      </c>
      <c r="M6" s="69">
        <v>25000</v>
      </c>
    </row>
    <row r="7" spans="1:13" x14ac:dyDescent="0.25">
      <c r="A7" s="69" t="s">
        <v>224</v>
      </c>
      <c r="B7" s="69" t="s">
        <v>313</v>
      </c>
      <c r="C7" s="69" t="s">
        <v>310</v>
      </c>
      <c r="D7" s="69">
        <v>1100</v>
      </c>
      <c r="E7" s="69">
        <v>200</v>
      </c>
      <c r="F7" s="69">
        <v>200</v>
      </c>
      <c r="G7" s="69">
        <v>1000</v>
      </c>
      <c r="H7" s="69">
        <v>200</v>
      </c>
      <c r="I7" s="69">
        <v>2</v>
      </c>
      <c r="J7" s="69">
        <v>1</v>
      </c>
      <c r="K7" s="69">
        <v>27.5</v>
      </c>
      <c r="L7" s="69">
        <v>33.5</v>
      </c>
      <c r="M7" s="69">
        <v>27500</v>
      </c>
    </row>
    <row r="8" spans="1:13" x14ac:dyDescent="0.25">
      <c r="A8" s="69" t="s">
        <v>224</v>
      </c>
      <c r="B8" s="69" t="s">
        <v>314</v>
      </c>
      <c r="C8" s="69" t="s">
        <v>310</v>
      </c>
      <c r="D8" s="69">
        <v>1100</v>
      </c>
      <c r="E8" s="69">
        <v>200</v>
      </c>
      <c r="F8" s="69">
        <v>200</v>
      </c>
      <c r="G8" s="69">
        <v>1000</v>
      </c>
      <c r="H8" s="69">
        <v>200</v>
      </c>
      <c r="I8" s="69">
        <v>2</v>
      </c>
      <c r="J8" s="69">
        <v>1</v>
      </c>
      <c r="K8" s="69">
        <v>33.5</v>
      </c>
      <c r="L8" s="69">
        <v>41</v>
      </c>
      <c r="M8" s="69">
        <v>31000</v>
      </c>
    </row>
    <row r="9" spans="1:13" x14ac:dyDescent="0.25">
      <c r="A9" s="69" t="s">
        <v>224</v>
      </c>
      <c r="B9" s="69" t="s">
        <v>354</v>
      </c>
      <c r="C9" s="69" t="s">
        <v>353</v>
      </c>
      <c r="D9" s="69">
        <v>1100</v>
      </c>
      <c r="E9" s="69">
        <v>190</v>
      </c>
      <c r="F9" s="69">
        <v>180</v>
      </c>
      <c r="G9" s="69">
        <v>1000</v>
      </c>
      <c r="H9" s="69">
        <v>180</v>
      </c>
      <c r="I9" s="69">
        <v>4</v>
      </c>
      <c r="J9" s="69">
        <v>1</v>
      </c>
      <c r="K9" s="69">
        <v>28.5</v>
      </c>
      <c r="L9" s="69">
        <v>47.63</v>
      </c>
      <c r="M9" s="69">
        <v>75000</v>
      </c>
    </row>
    <row r="10" spans="1:13" x14ac:dyDescent="0.25">
      <c r="A10" s="69" t="s">
        <v>224</v>
      </c>
      <c r="B10" s="69" t="s">
        <v>355</v>
      </c>
      <c r="C10" s="69" t="s">
        <v>353</v>
      </c>
      <c r="D10" s="69">
        <v>1000</v>
      </c>
      <c r="E10" s="69">
        <v>100</v>
      </c>
      <c r="F10" s="69">
        <v>200</v>
      </c>
      <c r="G10" s="69">
        <v>900</v>
      </c>
      <c r="H10" s="69">
        <v>200</v>
      </c>
      <c r="I10" s="69">
        <v>3</v>
      </c>
      <c r="J10" s="69">
        <v>2</v>
      </c>
      <c r="K10" s="69">
        <v>40</v>
      </c>
      <c r="L10" s="69">
        <v>50</v>
      </c>
      <c r="M10" s="69">
        <v>45000</v>
      </c>
    </row>
    <row r="11" spans="1:13" x14ac:dyDescent="0.25">
      <c r="A11" s="69" t="s">
        <v>224</v>
      </c>
      <c r="B11" s="69" t="s">
        <v>356</v>
      </c>
      <c r="C11" s="69" t="s">
        <v>353</v>
      </c>
      <c r="D11" s="69">
        <v>1000</v>
      </c>
      <c r="E11" s="69">
        <v>100</v>
      </c>
      <c r="F11" s="69">
        <v>200</v>
      </c>
      <c r="G11" s="69">
        <v>900</v>
      </c>
      <c r="H11" s="69">
        <v>200</v>
      </c>
      <c r="I11" s="69">
        <v>3</v>
      </c>
      <c r="J11" s="69">
        <v>2</v>
      </c>
      <c r="K11" s="69">
        <v>40</v>
      </c>
      <c r="L11" s="69">
        <v>50</v>
      </c>
      <c r="M11" s="69">
        <v>37500</v>
      </c>
    </row>
    <row r="12" spans="1:13" x14ac:dyDescent="0.25">
      <c r="A12" s="69" t="s">
        <v>224</v>
      </c>
      <c r="B12" s="69" t="s">
        <v>357</v>
      </c>
      <c r="C12" s="69" t="s">
        <v>353</v>
      </c>
      <c r="D12" s="69">
        <v>1000</v>
      </c>
      <c r="E12" s="69">
        <v>100</v>
      </c>
      <c r="F12" s="69">
        <v>200</v>
      </c>
      <c r="G12" s="69">
        <v>900</v>
      </c>
      <c r="H12" s="69">
        <v>200</v>
      </c>
      <c r="I12" s="69">
        <v>3</v>
      </c>
      <c r="J12" s="69">
        <v>2</v>
      </c>
      <c r="K12" s="69">
        <v>40</v>
      </c>
      <c r="L12" s="69">
        <v>50</v>
      </c>
      <c r="M12" s="69">
        <v>30000</v>
      </c>
    </row>
    <row r="13" spans="1:13" x14ac:dyDescent="0.25">
      <c r="A13" s="69" t="s">
        <v>224</v>
      </c>
      <c r="B13" s="69" t="s">
        <v>358</v>
      </c>
      <c r="C13" s="69" t="s">
        <v>353</v>
      </c>
      <c r="D13" s="69">
        <v>1000</v>
      </c>
      <c r="E13" s="69">
        <v>100</v>
      </c>
      <c r="F13" s="69">
        <v>200</v>
      </c>
      <c r="G13" s="69">
        <v>900</v>
      </c>
      <c r="H13" s="69">
        <v>200</v>
      </c>
      <c r="I13" s="69">
        <v>3</v>
      </c>
      <c r="J13" s="69">
        <v>2</v>
      </c>
      <c r="K13" s="69">
        <v>40</v>
      </c>
      <c r="L13" s="69">
        <v>50</v>
      </c>
      <c r="M13" s="69">
        <v>22500</v>
      </c>
    </row>
    <row r="14" spans="1:13" x14ac:dyDescent="0.25">
      <c r="A14" s="69" t="s">
        <v>224</v>
      </c>
      <c r="B14" s="69" t="s">
        <v>359</v>
      </c>
      <c r="C14" s="69" t="s">
        <v>353</v>
      </c>
      <c r="D14" s="69">
        <v>1000</v>
      </c>
      <c r="E14" s="69">
        <v>100</v>
      </c>
      <c r="F14" s="69">
        <v>200</v>
      </c>
      <c r="G14" s="69">
        <v>900</v>
      </c>
      <c r="H14" s="69">
        <v>200</v>
      </c>
      <c r="I14" s="69">
        <v>2</v>
      </c>
      <c r="J14" s="69">
        <v>2</v>
      </c>
      <c r="K14" s="69">
        <v>20</v>
      </c>
      <c r="L14" s="69">
        <v>25</v>
      </c>
      <c r="M14" s="69">
        <v>15000</v>
      </c>
    </row>
    <row r="15" spans="1:13" x14ac:dyDescent="0.25">
      <c r="A15" s="69" t="s">
        <v>224</v>
      </c>
      <c r="B15" s="69" t="s">
        <v>360</v>
      </c>
      <c r="C15" s="69" t="s">
        <v>353</v>
      </c>
      <c r="D15" s="69">
        <v>1000</v>
      </c>
      <c r="E15" s="69">
        <v>100</v>
      </c>
      <c r="F15" s="69">
        <v>200</v>
      </c>
      <c r="G15" s="69">
        <v>900</v>
      </c>
      <c r="H15" s="69">
        <v>200</v>
      </c>
      <c r="I15" s="69">
        <v>2</v>
      </c>
      <c r="J15" s="69">
        <v>2</v>
      </c>
      <c r="K15" s="69">
        <v>20</v>
      </c>
      <c r="L15" s="69">
        <v>25</v>
      </c>
      <c r="M15" s="69">
        <v>12000</v>
      </c>
    </row>
    <row r="16" spans="1:13" x14ac:dyDescent="0.25">
      <c r="A16" s="69" t="s">
        <v>224</v>
      </c>
      <c r="B16" s="69" t="s">
        <v>361</v>
      </c>
      <c r="C16" s="69" t="s">
        <v>353</v>
      </c>
      <c r="D16" s="69">
        <v>1000</v>
      </c>
      <c r="E16" s="69">
        <v>100</v>
      </c>
      <c r="F16" s="69">
        <v>200</v>
      </c>
      <c r="G16" s="69">
        <v>900</v>
      </c>
      <c r="H16" s="69">
        <v>200</v>
      </c>
      <c r="I16" s="69">
        <v>2</v>
      </c>
      <c r="J16" s="69">
        <v>2</v>
      </c>
      <c r="K16" s="69">
        <v>20</v>
      </c>
      <c r="L16" s="69">
        <v>25</v>
      </c>
      <c r="M16" s="69">
        <v>9000</v>
      </c>
    </row>
    <row r="17" spans="1:13" x14ac:dyDescent="0.25">
      <c r="A17" s="69" t="s">
        <v>224</v>
      </c>
      <c r="B17" s="69" t="s">
        <v>362</v>
      </c>
      <c r="C17" s="69" t="s">
        <v>353</v>
      </c>
      <c r="D17" s="69">
        <v>1000</v>
      </c>
      <c r="E17" s="69">
        <v>100</v>
      </c>
      <c r="F17" s="69">
        <v>200</v>
      </c>
      <c r="G17" s="69">
        <v>900</v>
      </c>
      <c r="H17" s="69">
        <v>200</v>
      </c>
      <c r="I17" s="69">
        <v>2</v>
      </c>
      <c r="J17" s="69">
        <v>1</v>
      </c>
      <c r="K17" s="69">
        <v>20</v>
      </c>
      <c r="L17" s="69">
        <v>25</v>
      </c>
      <c r="M17" s="69">
        <v>9000</v>
      </c>
    </row>
    <row r="18" spans="1:13" x14ac:dyDescent="0.25">
      <c r="A18" s="69" t="s">
        <v>224</v>
      </c>
      <c r="B18" s="69" t="s">
        <v>363</v>
      </c>
      <c r="C18" s="69" t="s">
        <v>353</v>
      </c>
      <c r="D18" s="69">
        <v>1000</v>
      </c>
      <c r="E18" s="69">
        <v>100</v>
      </c>
      <c r="F18" s="69">
        <v>200</v>
      </c>
      <c r="G18" s="69">
        <v>900</v>
      </c>
      <c r="H18" s="69">
        <v>200</v>
      </c>
      <c r="I18" s="69">
        <v>2</v>
      </c>
      <c r="J18" s="69">
        <v>1</v>
      </c>
      <c r="K18" s="69">
        <v>20</v>
      </c>
      <c r="L18" s="69">
        <v>25</v>
      </c>
      <c r="M18" s="69">
        <v>12000</v>
      </c>
    </row>
    <row r="19" spans="1:13" x14ac:dyDescent="0.25">
      <c r="A19" s="69" t="s">
        <v>224</v>
      </c>
      <c r="B19" s="69" t="s">
        <v>364</v>
      </c>
      <c r="C19" s="69" t="s">
        <v>353</v>
      </c>
      <c r="D19" s="69">
        <v>1000</v>
      </c>
      <c r="E19" s="69">
        <v>100</v>
      </c>
      <c r="F19" s="69">
        <v>200</v>
      </c>
      <c r="G19" s="69">
        <v>900</v>
      </c>
      <c r="H19" s="69">
        <v>200</v>
      </c>
      <c r="I19" s="69">
        <v>2</v>
      </c>
      <c r="J19" s="69">
        <v>1</v>
      </c>
      <c r="K19" s="69">
        <v>20</v>
      </c>
      <c r="L19" s="69">
        <v>25</v>
      </c>
      <c r="M19" s="69">
        <v>15000</v>
      </c>
    </row>
    <row r="20" spans="1:13" x14ac:dyDescent="0.25">
      <c r="A20" s="69" t="s">
        <v>224</v>
      </c>
      <c r="B20" s="69" t="s">
        <v>365</v>
      </c>
      <c r="C20" s="69" t="s">
        <v>353</v>
      </c>
      <c r="D20" s="69">
        <v>1000</v>
      </c>
      <c r="E20" s="69">
        <v>100</v>
      </c>
      <c r="F20" s="69">
        <v>200</v>
      </c>
      <c r="G20" s="69">
        <v>900</v>
      </c>
      <c r="H20" s="69">
        <v>200</v>
      </c>
      <c r="I20" s="69">
        <v>3</v>
      </c>
      <c r="J20" s="69">
        <v>2</v>
      </c>
      <c r="K20" s="69">
        <v>40</v>
      </c>
      <c r="L20" s="69">
        <v>50</v>
      </c>
      <c r="M20" s="69">
        <v>18000</v>
      </c>
    </row>
    <row r="21" spans="1:13" x14ac:dyDescent="0.25">
      <c r="A21" s="69" t="s">
        <v>224</v>
      </c>
      <c r="B21" s="69" t="s">
        <v>366</v>
      </c>
      <c r="C21" s="69" t="s">
        <v>353</v>
      </c>
      <c r="D21" s="69">
        <v>1000</v>
      </c>
      <c r="E21" s="69">
        <v>100</v>
      </c>
      <c r="F21" s="69">
        <v>200</v>
      </c>
      <c r="G21" s="69">
        <v>900</v>
      </c>
      <c r="H21" s="69">
        <v>200</v>
      </c>
      <c r="I21" s="69">
        <v>3</v>
      </c>
      <c r="J21" s="69">
        <v>2</v>
      </c>
      <c r="K21" s="69">
        <v>40</v>
      </c>
      <c r="L21" s="69">
        <v>50</v>
      </c>
      <c r="M21" s="69">
        <v>22500</v>
      </c>
    </row>
    <row r="22" spans="1:13" x14ac:dyDescent="0.25">
      <c r="A22" s="69" t="s">
        <v>224</v>
      </c>
      <c r="B22" s="69" t="s">
        <v>367</v>
      </c>
      <c r="C22" s="69" t="s">
        <v>353</v>
      </c>
      <c r="D22" s="69">
        <v>1000</v>
      </c>
      <c r="E22" s="69">
        <v>100</v>
      </c>
      <c r="F22" s="69">
        <v>200</v>
      </c>
      <c r="G22" s="69">
        <v>900</v>
      </c>
      <c r="H22" s="69">
        <v>200</v>
      </c>
      <c r="I22" s="69">
        <v>3</v>
      </c>
      <c r="J22" s="69">
        <v>2</v>
      </c>
      <c r="K22" s="69">
        <v>40</v>
      </c>
      <c r="L22" s="69">
        <v>50</v>
      </c>
      <c r="M22" s="69">
        <v>30000</v>
      </c>
    </row>
    <row r="23" spans="1:13" x14ac:dyDescent="0.25">
      <c r="A23" s="69" t="s">
        <v>224</v>
      </c>
      <c r="B23" s="69" t="s">
        <v>368</v>
      </c>
      <c r="C23" s="69" t="s">
        <v>353</v>
      </c>
      <c r="D23" s="69">
        <v>1000</v>
      </c>
      <c r="E23" s="69">
        <v>100</v>
      </c>
      <c r="F23" s="69">
        <v>200</v>
      </c>
      <c r="G23" s="69">
        <v>900</v>
      </c>
      <c r="H23" s="69">
        <v>200</v>
      </c>
      <c r="I23" s="69">
        <v>3</v>
      </c>
      <c r="J23" s="69">
        <v>2</v>
      </c>
      <c r="K23" s="69">
        <v>40</v>
      </c>
      <c r="L23" s="69">
        <v>50</v>
      </c>
      <c r="M23" s="69">
        <v>37500</v>
      </c>
    </row>
    <row r="24" spans="1:13" x14ac:dyDescent="0.25">
      <c r="A24" s="69" t="s">
        <v>224</v>
      </c>
      <c r="B24" s="69" t="s">
        <v>369</v>
      </c>
      <c r="C24" s="69" t="s">
        <v>353</v>
      </c>
      <c r="D24" s="69">
        <v>1000</v>
      </c>
      <c r="E24" s="69">
        <v>100</v>
      </c>
      <c r="F24" s="69">
        <v>200</v>
      </c>
      <c r="G24" s="69">
        <v>900</v>
      </c>
      <c r="H24" s="69">
        <v>200</v>
      </c>
      <c r="I24" s="69">
        <v>3</v>
      </c>
      <c r="J24" s="69">
        <v>2</v>
      </c>
      <c r="K24" s="69">
        <v>40</v>
      </c>
      <c r="L24" s="69">
        <v>50</v>
      </c>
      <c r="M24" s="69">
        <v>45000</v>
      </c>
    </row>
    <row r="25" spans="1:13" x14ac:dyDescent="0.25">
      <c r="A25" s="69" t="s">
        <v>224</v>
      </c>
      <c r="B25" s="69" t="s">
        <v>370</v>
      </c>
      <c r="C25" s="69" t="s">
        <v>353</v>
      </c>
      <c r="D25" s="81">
        <v>480</v>
      </c>
      <c r="E25" s="69">
        <v>100</v>
      </c>
      <c r="F25" s="69">
        <v>120</v>
      </c>
      <c r="G25" s="69">
        <v>440</v>
      </c>
      <c r="H25" s="69">
        <v>120</v>
      </c>
      <c r="I25" s="69">
        <v>2</v>
      </c>
      <c r="J25" s="69">
        <v>2</v>
      </c>
      <c r="K25" s="69">
        <v>35</v>
      </c>
      <c r="L25" s="69">
        <v>44</v>
      </c>
      <c r="M25" s="69">
        <v>24000</v>
      </c>
    </row>
    <row r="26" spans="1:13" x14ac:dyDescent="0.25">
      <c r="A26" s="69" t="s">
        <v>224</v>
      </c>
      <c r="B26" s="69" t="s">
        <v>371</v>
      </c>
      <c r="C26" s="69" t="s">
        <v>353</v>
      </c>
      <c r="D26" s="81">
        <v>480</v>
      </c>
      <c r="E26" s="69">
        <v>100</v>
      </c>
      <c r="F26" s="69">
        <v>120</v>
      </c>
      <c r="G26" s="69">
        <v>440</v>
      </c>
      <c r="H26" s="69">
        <v>120</v>
      </c>
      <c r="I26" s="69">
        <v>2</v>
      </c>
      <c r="J26" s="69">
        <v>2</v>
      </c>
      <c r="K26" s="69">
        <v>35</v>
      </c>
      <c r="L26" s="69">
        <v>44</v>
      </c>
      <c r="M26" s="69">
        <v>24000</v>
      </c>
    </row>
    <row r="27" spans="1:13" x14ac:dyDescent="0.25">
      <c r="A27" s="69" t="s">
        <v>224</v>
      </c>
      <c r="B27" s="69" t="s">
        <v>372</v>
      </c>
      <c r="C27" s="69" t="s">
        <v>353</v>
      </c>
      <c r="D27" s="81">
        <v>480</v>
      </c>
      <c r="E27" s="69">
        <v>100</v>
      </c>
      <c r="F27" s="69">
        <v>120</v>
      </c>
      <c r="G27" s="69">
        <v>385</v>
      </c>
      <c r="H27" s="69">
        <v>120</v>
      </c>
      <c r="I27" s="69">
        <v>2</v>
      </c>
      <c r="J27" s="69">
        <v>1</v>
      </c>
      <c r="K27" s="69">
        <v>17</v>
      </c>
      <c r="L27" s="69">
        <v>25</v>
      </c>
      <c r="M27" s="69">
        <v>8000</v>
      </c>
    </row>
    <row r="28" spans="1:13" x14ac:dyDescent="0.25">
      <c r="A28" s="69" t="s">
        <v>224</v>
      </c>
      <c r="B28" s="69" t="s">
        <v>373</v>
      </c>
      <c r="C28" s="69" t="s">
        <v>353</v>
      </c>
      <c r="D28" s="81">
        <v>480</v>
      </c>
      <c r="E28" s="69">
        <v>100</v>
      </c>
      <c r="F28" s="69">
        <v>120</v>
      </c>
      <c r="G28" s="69">
        <v>440</v>
      </c>
      <c r="H28" s="69">
        <v>120</v>
      </c>
      <c r="I28" s="69">
        <v>2</v>
      </c>
      <c r="J28" s="69">
        <v>2</v>
      </c>
      <c r="K28" s="69">
        <v>26</v>
      </c>
      <c r="L28" s="69">
        <v>32.5</v>
      </c>
      <c r="M28" s="69">
        <v>18000</v>
      </c>
    </row>
    <row r="29" spans="1:13" x14ac:dyDescent="0.25">
      <c r="A29" s="69" t="s">
        <v>224</v>
      </c>
      <c r="B29" s="69" t="s">
        <v>374</v>
      </c>
      <c r="C29" s="69" t="s">
        <v>353</v>
      </c>
      <c r="D29" s="81">
        <v>480</v>
      </c>
      <c r="E29" s="69">
        <v>100</v>
      </c>
      <c r="F29" s="69">
        <v>120</v>
      </c>
      <c r="G29" s="69">
        <v>440</v>
      </c>
      <c r="H29" s="69">
        <v>120</v>
      </c>
      <c r="I29" s="69">
        <v>2</v>
      </c>
      <c r="J29" s="69">
        <v>2</v>
      </c>
      <c r="K29" s="69">
        <v>35</v>
      </c>
      <c r="L29" s="69">
        <v>44</v>
      </c>
      <c r="M29" s="69">
        <v>24000</v>
      </c>
    </row>
    <row r="30" spans="1:13" x14ac:dyDescent="0.25">
      <c r="A30" s="69" t="s">
        <v>224</v>
      </c>
      <c r="B30" s="69" t="s">
        <v>375</v>
      </c>
      <c r="C30" s="69" t="s">
        <v>353</v>
      </c>
      <c r="D30" s="81">
        <v>480</v>
      </c>
      <c r="E30" s="69">
        <v>100</v>
      </c>
      <c r="F30" s="69">
        <v>120</v>
      </c>
      <c r="G30" s="69">
        <v>440</v>
      </c>
      <c r="H30" s="69">
        <v>120</v>
      </c>
      <c r="I30" s="69">
        <v>2</v>
      </c>
      <c r="J30" s="69">
        <v>2</v>
      </c>
      <c r="K30" s="69">
        <v>35</v>
      </c>
      <c r="L30" s="69">
        <v>44</v>
      </c>
      <c r="M30" s="69">
        <v>24000</v>
      </c>
    </row>
    <row r="31" spans="1:13" x14ac:dyDescent="0.25">
      <c r="A31" s="69" t="s">
        <v>224</v>
      </c>
      <c r="B31" s="69" t="s">
        <v>376</v>
      </c>
      <c r="C31" s="69" t="s">
        <v>353</v>
      </c>
      <c r="D31" s="81">
        <v>480</v>
      </c>
      <c r="E31" s="69">
        <v>100</v>
      </c>
      <c r="F31" s="69">
        <v>120</v>
      </c>
      <c r="G31" s="69">
        <v>440</v>
      </c>
      <c r="H31" s="69">
        <v>120</v>
      </c>
      <c r="I31" s="69">
        <v>2</v>
      </c>
      <c r="J31" s="69">
        <v>2</v>
      </c>
      <c r="K31" s="69">
        <v>35</v>
      </c>
      <c r="L31" s="69">
        <v>44</v>
      </c>
      <c r="M31" s="69">
        <v>24000</v>
      </c>
    </row>
    <row r="32" spans="1:13" x14ac:dyDescent="0.25">
      <c r="A32" s="69" t="s">
        <v>224</v>
      </c>
      <c r="B32" s="69" t="s">
        <v>377</v>
      </c>
      <c r="C32" s="69" t="s">
        <v>353</v>
      </c>
      <c r="D32" s="81">
        <v>480</v>
      </c>
      <c r="E32" s="69">
        <v>100</v>
      </c>
      <c r="F32" s="69">
        <v>120</v>
      </c>
      <c r="G32" s="69">
        <v>440</v>
      </c>
      <c r="H32" s="69">
        <v>120</v>
      </c>
      <c r="I32" s="69">
        <v>2</v>
      </c>
      <c r="J32" s="69">
        <v>2</v>
      </c>
      <c r="K32" s="69">
        <v>35</v>
      </c>
      <c r="L32" s="69">
        <v>44</v>
      </c>
      <c r="M32" s="69">
        <v>24000</v>
      </c>
    </row>
    <row r="33" spans="1:13" x14ac:dyDescent="0.25">
      <c r="A33" s="69" t="s">
        <v>224</v>
      </c>
      <c r="B33" s="69" t="s">
        <v>378</v>
      </c>
      <c r="C33" s="69" t="s">
        <v>353</v>
      </c>
      <c r="D33" s="69">
        <v>500</v>
      </c>
      <c r="E33" s="69">
        <v>125</v>
      </c>
      <c r="F33" s="69">
        <v>150</v>
      </c>
      <c r="G33" s="69">
        <v>425</v>
      </c>
      <c r="H33" s="69">
        <v>300</v>
      </c>
      <c r="I33" s="69">
        <v>2</v>
      </c>
      <c r="J33" s="69">
        <v>1</v>
      </c>
      <c r="K33" s="69">
        <v>13</v>
      </c>
      <c r="L33" s="69">
        <v>17</v>
      </c>
      <c r="M33" s="69">
        <v>6500</v>
      </c>
    </row>
    <row r="34" spans="1:13" x14ac:dyDescent="0.25">
      <c r="A34" s="69" t="s">
        <v>224</v>
      </c>
      <c r="B34" s="69" t="s">
        <v>379</v>
      </c>
      <c r="C34" s="69" t="s">
        <v>353</v>
      </c>
      <c r="D34" s="69">
        <v>500</v>
      </c>
      <c r="E34" s="69">
        <v>125</v>
      </c>
      <c r="F34" s="69">
        <v>150</v>
      </c>
      <c r="G34" s="69">
        <v>425</v>
      </c>
      <c r="H34" s="69">
        <v>200</v>
      </c>
      <c r="I34" s="69">
        <v>2</v>
      </c>
      <c r="J34" s="69">
        <v>2</v>
      </c>
      <c r="K34" s="69">
        <v>26</v>
      </c>
      <c r="L34" s="69">
        <v>34</v>
      </c>
      <c r="M34" s="69">
        <v>7800</v>
      </c>
    </row>
    <row r="35" spans="1:13" x14ac:dyDescent="0.25">
      <c r="A35" s="69" t="s">
        <v>224</v>
      </c>
      <c r="B35" s="69" t="s">
        <v>380</v>
      </c>
      <c r="C35" s="69" t="s">
        <v>353</v>
      </c>
      <c r="D35" s="69">
        <v>500</v>
      </c>
      <c r="E35" s="69">
        <v>125</v>
      </c>
      <c r="F35" s="69">
        <v>150</v>
      </c>
      <c r="G35" s="69">
        <v>425</v>
      </c>
      <c r="H35" s="69">
        <v>200</v>
      </c>
      <c r="I35" s="69">
        <v>2</v>
      </c>
      <c r="J35" s="69">
        <v>2</v>
      </c>
      <c r="K35" s="69">
        <v>26</v>
      </c>
      <c r="L35" s="69">
        <v>34</v>
      </c>
      <c r="M35" s="69">
        <v>9880</v>
      </c>
    </row>
    <row r="36" spans="1:13" x14ac:dyDescent="0.25">
      <c r="A36" s="69" t="s">
        <v>224</v>
      </c>
      <c r="B36" s="69" t="s">
        <v>381</v>
      </c>
      <c r="C36" s="69" t="s">
        <v>353</v>
      </c>
      <c r="D36" s="69">
        <v>500</v>
      </c>
      <c r="E36" s="69">
        <v>125</v>
      </c>
      <c r="F36" s="69">
        <v>150</v>
      </c>
      <c r="G36" s="69">
        <v>425</v>
      </c>
      <c r="H36" s="69">
        <v>200</v>
      </c>
      <c r="I36" s="69">
        <v>2</v>
      </c>
      <c r="J36" s="69">
        <v>2</v>
      </c>
      <c r="K36" s="69">
        <v>26</v>
      </c>
      <c r="L36" s="69">
        <v>34</v>
      </c>
      <c r="M36" s="69">
        <v>10400</v>
      </c>
    </row>
    <row r="37" spans="1:13" x14ac:dyDescent="0.25">
      <c r="A37" s="69" t="s">
        <v>224</v>
      </c>
      <c r="B37" s="69" t="s">
        <v>634</v>
      </c>
      <c r="C37" s="69" t="s">
        <v>635</v>
      </c>
      <c r="D37" s="81">
        <v>100</v>
      </c>
      <c r="E37" s="69" t="s">
        <v>215</v>
      </c>
      <c r="F37" s="69">
        <v>16</v>
      </c>
      <c r="G37" s="69">
        <v>95</v>
      </c>
      <c r="H37" s="69">
        <v>16</v>
      </c>
      <c r="I37" s="69">
        <v>1</v>
      </c>
      <c r="J37" s="69">
        <v>1</v>
      </c>
      <c r="K37" s="81">
        <v>80</v>
      </c>
      <c r="L37" s="81" t="s">
        <v>215</v>
      </c>
      <c r="M37" s="69">
        <v>1250</v>
      </c>
    </row>
    <row r="38" spans="1:13" x14ac:dyDescent="0.25">
      <c r="A38" s="69" t="s">
        <v>224</v>
      </c>
      <c r="B38" s="69" t="s">
        <v>636</v>
      </c>
      <c r="C38" s="69" t="s">
        <v>635</v>
      </c>
      <c r="D38" s="81">
        <v>100</v>
      </c>
      <c r="E38" s="69" t="s">
        <v>215</v>
      </c>
      <c r="F38" s="69">
        <v>16</v>
      </c>
      <c r="G38" s="69">
        <v>95</v>
      </c>
      <c r="H38" s="69">
        <v>16</v>
      </c>
      <c r="I38" s="69">
        <v>1</v>
      </c>
      <c r="J38" s="69">
        <v>1</v>
      </c>
      <c r="K38" s="81">
        <v>80</v>
      </c>
      <c r="L38" s="81" t="s">
        <v>215</v>
      </c>
      <c r="M38" s="69">
        <v>1250</v>
      </c>
    </row>
    <row r="39" spans="1:13" x14ac:dyDescent="0.25">
      <c r="A39" s="69" t="s">
        <v>224</v>
      </c>
      <c r="B39" s="69" t="s">
        <v>637</v>
      </c>
      <c r="C39" s="69" t="s">
        <v>635</v>
      </c>
      <c r="D39" s="81">
        <v>145</v>
      </c>
      <c r="E39" s="69" t="s">
        <v>215</v>
      </c>
      <c r="F39" s="69">
        <v>30</v>
      </c>
      <c r="G39" s="69">
        <v>130</v>
      </c>
      <c r="H39" s="69">
        <v>30</v>
      </c>
      <c r="I39" s="69">
        <v>1</v>
      </c>
      <c r="J39" s="69">
        <v>1</v>
      </c>
      <c r="K39" s="81">
        <v>80</v>
      </c>
      <c r="L39" s="81" t="s">
        <v>215</v>
      </c>
      <c r="M39" s="69">
        <v>2500</v>
      </c>
    </row>
    <row r="40" spans="1:13" x14ac:dyDescent="0.25">
      <c r="A40" s="69" t="s">
        <v>224</v>
      </c>
      <c r="B40" s="69" t="s">
        <v>638</v>
      </c>
      <c r="C40" s="69" t="s">
        <v>635</v>
      </c>
      <c r="D40" s="81">
        <v>100</v>
      </c>
      <c r="E40" s="69" t="s">
        <v>215</v>
      </c>
      <c r="F40" s="69">
        <v>16</v>
      </c>
      <c r="G40" s="69">
        <v>95</v>
      </c>
      <c r="H40" s="69">
        <v>16</v>
      </c>
      <c r="I40" s="69">
        <v>1</v>
      </c>
      <c r="J40" s="69">
        <v>1</v>
      </c>
      <c r="K40" s="81">
        <v>80</v>
      </c>
      <c r="L40" s="81" t="s">
        <v>215</v>
      </c>
      <c r="M40" s="69">
        <v>1250</v>
      </c>
    </row>
    <row r="41" spans="1:13" x14ac:dyDescent="0.25">
      <c r="A41" s="69" t="s">
        <v>224</v>
      </c>
      <c r="B41" s="69" t="s">
        <v>639</v>
      </c>
      <c r="C41" s="69" t="s">
        <v>635</v>
      </c>
      <c r="D41" s="81">
        <v>145</v>
      </c>
      <c r="E41" s="69" t="s">
        <v>215</v>
      </c>
      <c r="F41" s="69">
        <v>30</v>
      </c>
      <c r="G41" s="69">
        <v>130</v>
      </c>
      <c r="H41" s="69">
        <v>30</v>
      </c>
      <c r="I41" s="69">
        <v>1</v>
      </c>
      <c r="J41" s="69">
        <v>1</v>
      </c>
      <c r="K41" s="81">
        <v>80</v>
      </c>
      <c r="L41" s="81" t="s">
        <v>215</v>
      </c>
      <c r="M41" s="69">
        <v>2500</v>
      </c>
    </row>
    <row r="42" spans="1:13" x14ac:dyDescent="0.25">
      <c r="A42" s="69" t="s">
        <v>224</v>
      </c>
      <c r="B42" s="69" t="s">
        <v>640</v>
      </c>
      <c r="C42" s="69" t="s">
        <v>635</v>
      </c>
      <c r="D42" s="81">
        <v>145</v>
      </c>
      <c r="E42" s="69" t="s">
        <v>215</v>
      </c>
      <c r="F42" s="69">
        <v>30</v>
      </c>
      <c r="G42" s="69">
        <v>130</v>
      </c>
      <c r="H42" s="69">
        <v>30</v>
      </c>
      <c r="I42" s="69">
        <v>1</v>
      </c>
      <c r="J42" s="69">
        <v>1</v>
      </c>
      <c r="K42" s="81">
        <v>80</v>
      </c>
      <c r="L42" s="81" t="s">
        <v>215</v>
      </c>
      <c r="M42" s="69">
        <v>2500</v>
      </c>
    </row>
    <row r="43" spans="1:13" x14ac:dyDescent="0.25">
      <c r="A43" s="69" t="s">
        <v>224</v>
      </c>
      <c r="B43" s="69" t="s">
        <v>641</v>
      </c>
      <c r="C43" s="69" t="s">
        <v>635</v>
      </c>
      <c r="D43" s="81">
        <v>145</v>
      </c>
      <c r="E43" s="69" t="s">
        <v>215</v>
      </c>
      <c r="F43" s="69">
        <v>60</v>
      </c>
      <c r="G43" s="69">
        <v>130</v>
      </c>
      <c r="H43" s="69">
        <v>60</v>
      </c>
      <c r="I43" s="69">
        <v>1</v>
      </c>
      <c r="J43" s="69">
        <v>1</v>
      </c>
      <c r="K43" s="81">
        <v>80</v>
      </c>
      <c r="L43" s="81" t="s">
        <v>215</v>
      </c>
      <c r="M43" s="69">
        <v>5000</v>
      </c>
    </row>
    <row r="44" spans="1:13" x14ac:dyDescent="0.25">
      <c r="A44" s="69" t="s">
        <v>224</v>
      </c>
      <c r="B44" s="69" t="s">
        <v>642</v>
      </c>
      <c r="C44" s="69" t="s">
        <v>635</v>
      </c>
      <c r="D44" s="81">
        <v>145</v>
      </c>
      <c r="E44" s="69" t="s">
        <v>215</v>
      </c>
      <c r="F44" s="69">
        <v>30</v>
      </c>
      <c r="G44" s="69">
        <v>130</v>
      </c>
      <c r="H44" s="69">
        <v>30</v>
      </c>
      <c r="I44" s="69">
        <v>1</v>
      </c>
      <c r="J44" s="69">
        <v>1</v>
      </c>
      <c r="K44" s="81">
        <v>80</v>
      </c>
      <c r="L44" s="81" t="s">
        <v>215</v>
      </c>
      <c r="M44" s="69">
        <v>2500</v>
      </c>
    </row>
    <row r="45" spans="1:13" x14ac:dyDescent="0.25">
      <c r="A45" s="69" t="s">
        <v>224</v>
      </c>
      <c r="B45" s="69" t="s">
        <v>643</v>
      </c>
      <c r="C45" s="69" t="s">
        <v>635</v>
      </c>
      <c r="D45" s="81">
        <v>145</v>
      </c>
      <c r="E45" s="69" t="s">
        <v>215</v>
      </c>
      <c r="F45" s="69">
        <v>60</v>
      </c>
      <c r="G45" s="69">
        <v>130</v>
      </c>
      <c r="H45" s="69">
        <v>60</v>
      </c>
      <c r="I45" s="69">
        <v>1</v>
      </c>
      <c r="J45" s="69">
        <v>1</v>
      </c>
      <c r="K45" s="81">
        <v>80</v>
      </c>
      <c r="L45" s="81" t="s">
        <v>215</v>
      </c>
      <c r="M45" s="69">
        <v>5000</v>
      </c>
    </row>
    <row r="46" spans="1:13" x14ac:dyDescent="0.25">
      <c r="A46" s="69" t="s">
        <v>224</v>
      </c>
      <c r="B46" s="69" t="s">
        <v>644</v>
      </c>
      <c r="C46" s="69" t="s">
        <v>635</v>
      </c>
      <c r="D46" s="81">
        <v>145</v>
      </c>
      <c r="E46" s="69" t="s">
        <v>215</v>
      </c>
      <c r="F46" s="69">
        <v>60</v>
      </c>
      <c r="G46" s="69">
        <v>130</v>
      </c>
      <c r="H46" s="69">
        <v>60</v>
      </c>
      <c r="I46" s="69">
        <v>1</v>
      </c>
      <c r="J46" s="69">
        <v>1</v>
      </c>
      <c r="K46" s="81">
        <v>80</v>
      </c>
      <c r="L46" s="81" t="s">
        <v>215</v>
      </c>
      <c r="M46" s="69">
        <v>5000</v>
      </c>
    </row>
    <row r="47" spans="1:13" x14ac:dyDescent="0.25">
      <c r="A47" s="69" t="s">
        <v>224</v>
      </c>
      <c r="B47" s="69" t="s">
        <v>645</v>
      </c>
      <c r="C47" s="69" t="s">
        <v>635</v>
      </c>
      <c r="D47" s="81">
        <v>145</v>
      </c>
      <c r="E47" s="69" t="s">
        <v>215</v>
      </c>
      <c r="F47" s="69">
        <v>60</v>
      </c>
      <c r="G47" s="69">
        <v>130</v>
      </c>
      <c r="H47" s="69">
        <v>60</v>
      </c>
      <c r="I47" s="69">
        <v>1</v>
      </c>
      <c r="J47" s="69">
        <v>1</v>
      </c>
      <c r="K47" s="81">
        <v>80</v>
      </c>
      <c r="L47" s="81" t="s">
        <v>215</v>
      </c>
      <c r="M47" s="69">
        <v>5000</v>
      </c>
    </row>
    <row r="48" spans="1:13" x14ac:dyDescent="0.25">
      <c r="A48" s="69" t="s">
        <v>224</v>
      </c>
      <c r="B48" s="69" t="s">
        <v>646</v>
      </c>
      <c r="C48" s="69" t="s">
        <v>647</v>
      </c>
      <c r="D48" s="81">
        <v>145</v>
      </c>
      <c r="E48" s="69" t="s">
        <v>215</v>
      </c>
      <c r="F48" s="69">
        <v>64</v>
      </c>
      <c r="G48" s="69">
        <v>145</v>
      </c>
      <c r="H48" s="69">
        <v>64</v>
      </c>
      <c r="I48" s="69">
        <v>1</v>
      </c>
      <c r="J48" s="69">
        <v>1</v>
      </c>
      <c r="K48" s="81">
        <v>100</v>
      </c>
      <c r="L48" s="81" t="s">
        <v>215</v>
      </c>
      <c r="M48" s="69">
        <v>5000</v>
      </c>
    </row>
    <row r="49" spans="1:13" x14ac:dyDescent="0.25">
      <c r="A49" s="69" t="s">
        <v>224</v>
      </c>
      <c r="B49" s="69" t="s">
        <v>648</v>
      </c>
      <c r="C49" s="69" t="s">
        <v>649</v>
      </c>
      <c r="D49" s="81">
        <v>145</v>
      </c>
      <c r="E49" s="69" t="s">
        <v>215</v>
      </c>
      <c r="F49" s="69">
        <v>64</v>
      </c>
      <c r="G49" s="69">
        <v>145</v>
      </c>
      <c r="H49" s="69">
        <v>64</v>
      </c>
      <c r="I49" s="69">
        <v>1</v>
      </c>
      <c r="J49" s="69">
        <v>1</v>
      </c>
      <c r="K49" s="81">
        <v>100</v>
      </c>
      <c r="L49" s="81" t="s">
        <v>215</v>
      </c>
      <c r="M49" s="69">
        <v>5000</v>
      </c>
    </row>
    <row r="50" spans="1:13" x14ac:dyDescent="0.25">
      <c r="A50" s="69" t="s">
        <v>224</v>
      </c>
      <c r="B50" s="69" t="s">
        <v>650</v>
      </c>
      <c r="C50" s="69" t="s">
        <v>651</v>
      </c>
      <c r="D50" s="81">
        <v>145</v>
      </c>
      <c r="E50" s="69" t="s">
        <v>215</v>
      </c>
      <c r="F50" s="69">
        <v>64</v>
      </c>
      <c r="G50" s="69">
        <v>145</v>
      </c>
      <c r="H50" s="69">
        <v>64</v>
      </c>
      <c r="I50" s="69">
        <v>1</v>
      </c>
      <c r="J50" s="69">
        <v>1</v>
      </c>
      <c r="K50" s="81">
        <v>100</v>
      </c>
      <c r="L50" s="81" t="s">
        <v>215</v>
      </c>
      <c r="M50" s="69">
        <v>5000</v>
      </c>
    </row>
    <row r="51" spans="1:13" x14ac:dyDescent="0.25">
      <c r="A51" s="69" t="s">
        <v>224</v>
      </c>
      <c r="B51" s="69" t="s">
        <v>652</v>
      </c>
      <c r="C51" s="69" t="s">
        <v>653</v>
      </c>
      <c r="D51" s="81">
        <v>250</v>
      </c>
      <c r="E51" s="69" t="s">
        <v>215</v>
      </c>
      <c r="F51" s="69">
        <v>64</v>
      </c>
      <c r="G51" s="69">
        <v>235</v>
      </c>
      <c r="H51" s="69">
        <v>64</v>
      </c>
      <c r="I51" s="69">
        <v>2</v>
      </c>
      <c r="J51" s="69">
        <v>1</v>
      </c>
      <c r="K51" s="81">
        <v>100</v>
      </c>
      <c r="L51" s="81" t="s">
        <v>215</v>
      </c>
      <c r="M51" s="69">
        <v>5000</v>
      </c>
    </row>
    <row r="52" spans="1:13" x14ac:dyDescent="0.25">
      <c r="A52" s="69" t="s">
        <v>224</v>
      </c>
      <c r="B52" s="69" t="s">
        <v>654</v>
      </c>
      <c r="C52" s="69" t="s">
        <v>655</v>
      </c>
      <c r="D52" s="81">
        <v>250</v>
      </c>
      <c r="E52" s="69" t="s">
        <v>215</v>
      </c>
      <c r="F52" s="69">
        <v>64</v>
      </c>
      <c r="G52" s="69">
        <v>235</v>
      </c>
      <c r="H52" s="69">
        <v>64</v>
      </c>
      <c r="I52" s="69">
        <v>2</v>
      </c>
      <c r="J52" s="69">
        <v>1</v>
      </c>
      <c r="K52" s="81">
        <v>100</v>
      </c>
      <c r="L52" s="81" t="s">
        <v>215</v>
      </c>
      <c r="M52" s="69">
        <v>5000</v>
      </c>
    </row>
    <row r="53" spans="1:13" x14ac:dyDescent="0.25">
      <c r="A53" s="69" t="s">
        <v>224</v>
      </c>
      <c r="B53" s="69" t="s">
        <v>656</v>
      </c>
      <c r="C53" s="69" t="s">
        <v>657</v>
      </c>
      <c r="D53" s="81">
        <v>250</v>
      </c>
      <c r="E53" s="69" t="s">
        <v>215</v>
      </c>
      <c r="F53" s="69">
        <v>64</v>
      </c>
      <c r="G53" s="69">
        <v>235</v>
      </c>
      <c r="H53" s="69">
        <v>64</v>
      </c>
      <c r="I53" s="69">
        <v>2</v>
      </c>
      <c r="J53" s="69">
        <v>1</v>
      </c>
      <c r="K53" s="81">
        <v>100</v>
      </c>
      <c r="L53" s="81" t="s">
        <v>215</v>
      </c>
      <c r="M53" s="69">
        <v>5000</v>
      </c>
    </row>
    <row r="54" spans="1:13" x14ac:dyDescent="0.25">
      <c r="A54" s="69" t="s">
        <v>224</v>
      </c>
      <c r="B54" s="69" t="s">
        <v>661</v>
      </c>
      <c r="C54" s="69" t="s">
        <v>662</v>
      </c>
      <c r="D54" s="81">
        <v>102</v>
      </c>
      <c r="E54" s="69" t="s">
        <v>215</v>
      </c>
      <c r="F54" s="69">
        <v>15</v>
      </c>
      <c r="G54" s="69">
        <v>80</v>
      </c>
      <c r="H54" s="69">
        <v>15</v>
      </c>
      <c r="I54" s="69">
        <v>1</v>
      </c>
      <c r="J54" s="69">
        <v>1</v>
      </c>
      <c r="K54" s="81" t="s">
        <v>215</v>
      </c>
      <c r="L54" s="81" t="s">
        <v>215</v>
      </c>
      <c r="M54" s="69">
        <v>500</v>
      </c>
    </row>
    <row r="55" spans="1:13" x14ac:dyDescent="0.25">
      <c r="A55" s="69" t="s">
        <v>224</v>
      </c>
      <c r="B55" s="69" t="s">
        <v>663</v>
      </c>
      <c r="C55" s="69" t="s">
        <v>662</v>
      </c>
      <c r="D55" s="81">
        <v>145</v>
      </c>
      <c r="E55" s="69" t="s">
        <v>215</v>
      </c>
      <c r="F55" s="69">
        <v>30</v>
      </c>
      <c r="G55" s="69">
        <v>115</v>
      </c>
      <c r="H55" s="69">
        <v>30</v>
      </c>
      <c r="I55" s="69">
        <v>1</v>
      </c>
      <c r="J55" s="69">
        <v>1</v>
      </c>
      <c r="K55" s="81" t="s">
        <v>215</v>
      </c>
      <c r="L55" s="81" t="s">
        <v>215</v>
      </c>
      <c r="M55" s="69">
        <v>1500</v>
      </c>
    </row>
    <row r="56" spans="1:13" x14ac:dyDescent="0.25">
      <c r="A56" s="69" t="s">
        <v>224</v>
      </c>
      <c r="B56" s="69" t="s">
        <v>664</v>
      </c>
      <c r="C56" s="69" t="s">
        <v>665</v>
      </c>
      <c r="D56" s="69">
        <v>800</v>
      </c>
      <c r="E56" s="69">
        <v>200</v>
      </c>
      <c r="F56" s="69">
        <v>160</v>
      </c>
      <c r="G56" s="69">
        <v>650</v>
      </c>
      <c r="H56" s="69">
        <v>160</v>
      </c>
      <c r="I56" s="69">
        <v>2</v>
      </c>
      <c r="J56" s="69">
        <v>2</v>
      </c>
      <c r="K56" s="69">
        <v>32</v>
      </c>
      <c r="L56" s="69">
        <v>40</v>
      </c>
      <c r="M56" s="69">
        <v>20000</v>
      </c>
    </row>
    <row r="57" spans="1:13" x14ac:dyDescent="0.25">
      <c r="A57" s="69" t="s">
        <v>224</v>
      </c>
      <c r="B57" s="69" t="s">
        <v>666</v>
      </c>
      <c r="C57" s="69" t="s">
        <v>665</v>
      </c>
      <c r="D57" s="69">
        <v>800</v>
      </c>
      <c r="E57" s="69">
        <v>200</v>
      </c>
      <c r="F57" s="69">
        <v>160</v>
      </c>
      <c r="G57" s="69">
        <v>650</v>
      </c>
      <c r="H57" s="69">
        <v>160</v>
      </c>
      <c r="I57" s="69">
        <v>2</v>
      </c>
      <c r="J57" s="69">
        <v>2</v>
      </c>
      <c r="K57" s="69">
        <v>32</v>
      </c>
      <c r="L57" s="69">
        <v>40</v>
      </c>
      <c r="M57" s="69">
        <v>24000</v>
      </c>
    </row>
    <row r="58" spans="1:13" x14ac:dyDescent="0.25">
      <c r="A58" s="69" t="s">
        <v>224</v>
      </c>
      <c r="B58" s="69" t="s">
        <v>667</v>
      </c>
      <c r="C58" s="69" t="s">
        <v>665</v>
      </c>
      <c r="D58" s="69">
        <v>800</v>
      </c>
      <c r="E58" s="69">
        <v>200</v>
      </c>
      <c r="F58" s="69">
        <v>160</v>
      </c>
      <c r="G58" s="69">
        <v>650</v>
      </c>
      <c r="H58" s="69">
        <v>160</v>
      </c>
      <c r="I58" s="69">
        <v>2</v>
      </c>
      <c r="J58" s="69">
        <v>2</v>
      </c>
      <c r="K58" s="69">
        <v>32</v>
      </c>
      <c r="L58" s="69">
        <v>40</v>
      </c>
      <c r="M58" s="69">
        <v>30000</v>
      </c>
    </row>
    <row r="59" spans="1:13" x14ac:dyDescent="0.25">
      <c r="A59" s="69" t="s">
        <v>224</v>
      </c>
      <c r="B59" s="69" t="s">
        <v>668</v>
      </c>
      <c r="C59" s="69" t="s">
        <v>669</v>
      </c>
      <c r="D59" s="69">
        <v>600</v>
      </c>
      <c r="E59" s="69">
        <v>140</v>
      </c>
      <c r="F59" s="69">
        <v>120</v>
      </c>
      <c r="G59" s="69">
        <v>500</v>
      </c>
      <c r="H59" s="69">
        <v>120</v>
      </c>
      <c r="I59" s="69">
        <v>2</v>
      </c>
      <c r="J59" s="69">
        <v>2</v>
      </c>
      <c r="K59" s="69">
        <v>25</v>
      </c>
      <c r="L59" s="69">
        <v>31</v>
      </c>
      <c r="M59" s="69">
        <v>8000</v>
      </c>
    </row>
    <row r="60" spans="1:13" x14ac:dyDescent="0.25">
      <c r="A60" s="69" t="s">
        <v>224</v>
      </c>
      <c r="B60" s="69" t="s">
        <v>670</v>
      </c>
      <c r="C60" s="69" t="s">
        <v>669</v>
      </c>
      <c r="D60" s="69">
        <v>600</v>
      </c>
      <c r="E60" s="69">
        <v>140</v>
      </c>
      <c r="F60" s="69">
        <v>120</v>
      </c>
      <c r="G60" s="69">
        <v>500</v>
      </c>
      <c r="H60" s="69">
        <v>120</v>
      </c>
      <c r="I60" s="69">
        <v>2</v>
      </c>
      <c r="J60" s="69">
        <v>2</v>
      </c>
      <c r="K60" s="69">
        <v>25</v>
      </c>
      <c r="L60" s="69">
        <v>31</v>
      </c>
      <c r="M60" s="69">
        <v>12000</v>
      </c>
    </row>
    <row r="61" spans="1:13" x14ac:dyDescent="0.25">
      <c r="A61" s="69" t="s">
        <v>224</v>
      </c>
      <c r="B61" s="69" t="s">
        <v>671</v>
      </c>
      <c r="C61" s="69" t="s">
        <v>669</v>
      </c>
      <c r="D61" s="69">
        <v>600</v>
      </c>
      <c r="E61" s="69">
        <v>140</v>
      </c>
      <c r="F61" s="69">
        <v>120</v>
      </c>
      <c r="G61" s="69">
        <v>500</v>
      </c>
      <c r="H61" s="69">
        <v>120</v>
      </c>
      <c r="I61" s="69">
        <v>2</v>
      </c>
      <c r="J61" s="69">
        <v>2</v>
      </c>
      <c r="K61" s="69">
        <v>25</v>
      </c>
      <c r="L61" s="69">
        <v>31</v>
      </c>
      <c r="M61" s="69">
        <v>15000</v>
      </c>
    </row>
    <row r="62" spans="1:13" x14ac:dyDescent="0.25">
      <c r="A62" s="69" t="s">
        <v>224</v>
      </c>
      <c r="B62" s="69" t="s">
        <v>672</v>
      </c>
      <c r="C62" s="69" t="s">
        <v>673</v>
      </c>
      <c r="D62" s="69">
        <v>600</v>
      </c>
      <c r="E62" s="69">
        <v>140</v>
      </c>
      <c r="F62" s="69">
        <v>120</v>
      </c>
      <c r="G62" s="69">
        <v>500</v>
      </c>
      <c r="H62" s="69">
        <v>120</v>
      </c>
      <c r="I62" s="69">
        <v>3</v>
      </c>
      <c r="J62" s="69" t="s">
        <v>215</v>
      </c>
      <c r="K62" s="69">
        <v>25</v>
      </c>
      <c r="L62" s="69">
        <v>31</v>
      </c>
      <c r="M62" s="69">
        <v>18000</v>
      </c>
    </row>
    <row r="63" spans="1:13" x14ac:dyDescent="0.25">
      <c r="A63" s="69" t="s">
        <v>224</v>
      </c>
      <c r="B63" s="69" t="s">
        <v>674</v>
      </c>
      <c r="C63" s="69" t="s">
        <v>675</v>
      </c>
      <c r="D63" s="69">
        <v>500</v>
      </c>
      <c r="E63" s="69">
        <v>100</v>
      </c>
      <c r="F63" s="69">
        <v>120</v>
      </c>
      <c r="G63" s="69">
        <v>385</v>
      </c>
      <c r="H63" s="69">
        <v>120</v>
      </c>
      <c r="I63" s="69">
        <v>2</v>
      </c>
      <c r="J63" s="69">
        <v>1</v>
      </c>
      <c r="K63" s="69">
        <v>17</v>
      </c>
      <c r="L63" s="69">
        <v>25</v>
      </c>
      <c r="M63" s="69">
        <v>6000</v>
      </c>
    </row>
    <row r="64" spans="1:13" x14ac:dyDescent="0.25">
      <c r="A64" s="69" t="s">
        <v>224</v>
      </c>
      <c r="B64" s="69" t="s">
        <v>676</v>
      </c>
      <c r="C64" s="69" t="s">
        <v>675</v>
      </c>
      <c r="D64" s="69">
        <v>500</v>
      </c>
      <c r="E64" s="69">
        <v>100</v>
      </c>
      <c r="F64" s="69">
        <v>120</v>
      </c>
      <c r="G64" s="69">
        <v>385</v>
      </c>
      <c r="H64" s="69">
        <v>120</v>
      </c>
      <c r="I64" s="69">
        <v>2</v>
      </c>
      <c r="J64" s="69">
        <v>1</v>
      </c>
      <c r="K64" s="69">
        <v>17</v>
      </c>
      <c r="L64" s="69">
        <v>25</v>
      </c>
      <c r="M64" s="69">
        <v>8000</v>
      </c>
    </row>
    <row r="65" spans="1:13" x14ac:dyDescent="0.25">
      <c r="A65" s="69" t="s">
        <v>224</v>
      </c>
      <c r="B65" s="69" t="s">
        <v>677</v>
      </c>
      <c r="C65" s="69" t="s">
        <v>675</v>
      </c>
      <c r="D65" s="69">
        <v>500</v>
      </c>
      <c r="E65" s="69">
        <v>100</v>
      </c>
      <c r="F65" s="69">
        <v>120</v>
      </c>
      <c r="G65" s="69">
        <v>385</v>
      </c>
      <c r="H65" s="69">
        <v>120</v>
      </c>
      <c r="I65" s="69">
        <v>2</v>
      </c>
      <c r="J65" s="69">
        <v>1</v>
      </c>
      <c r="K65" s="69">
        <v>17</v>
      </c>
      <c r="L65" s="69">
        <v>25</v>
      </c>
      <c r="M65" s="69">
        <v>8000</v>
      </c>
    </row>
    <row r="66" spans="1:13" x14ac:dyDescent="0.25">
      <c r="A66" s="69" t="s">
        <v>224</v>
      </c>
      <c r="B66" s="69" t="s">
        <v>678</v>
      </c>
      <c r="C66" s="69" t="s">
        <v>675</v>
      </c>
      <c r="D66" s="69">
        <v>500</v>
      </c>
      <c r="E66" s="69">
        <v>100</v>
      </c>
      <c r="F66" s="69">
        <v>120</v>
      </c>
      <c r="G66" s="69">
        <v>385</v>
      </c>
      <c r="H66" s="69">
        <v>120</v>
      </c>
      <c r="I66" s="69">
        <v>2</v>
      </c>
      <c r="J66" s="69">
        <v>1</v>
      </c>
      <c r="K66" s="69">
        <v>17</v>
      </c>
      <c r="L66" s="69">
        <v>25</v>
      </c>
      <c r="M66" s="69">
        <v>9600</v>
      </c>
    </row>
    <row r="67" spans="1:13" x14ac:dyDescent="0.25">
      <c r="A67" s="69" t="s">
        <v>224</v>
      </c>
      <c r="B67" s="69" t="s">
        <v>679</v>
      </c>
      <c r="C67" s="69" t="s">
        <v>680</v>
      </c>
      <c r="D67" s="69">
        <v>500</v>
      </c>
      <c r="E67" s="69">
        <v>80</v>
      </c>
      <c r="F67" s="69">
        <v>80</v>
      </c>
      <c r="G67" s="69">
        <v>400</v>
      </c>
      <c r="H67" s="69">
        <v>80</v>
      </c>
      <c r="I67" s="69">
        <v>2</v>
      </c>
      <c r="J67" s="69">
        <v>1</v>
      </c>
      <c r="K67" s="69">
        <v>20</v>
      </c>
      <c r="L67" s="69">
        <v>25</v>
      </c>
      <c r="M67" s="69">
        <v>7500</v>
      </c>
    </row>
    <row r="68" spans="1:13" x14ac:dyDescent="0.25">
      <c r="A68" s="69" t="s">
        <v>224</v>
      </c>
      <c r="B68" s="69" t="s">
        <v>681</v>
      </c>
      <c r="C68" s="69" t="s">
        <v>680</v>
      </c>
      <c r="D68" s="69">
        <v>500</v>
      </c>
      <c r="E68" s="69">
        <v>80</v>
      </c>
      <c r="F68" s="69">
        <v>80</v>
      </c>
      <c r="G68" s="69">
        <v>400</v>
      </c>
      <c r="H68" s="69">
        <v>80</v>
      </c>
      <c r="I68" s="69">
        <v>2</v>
      </c>
      <c r="J68" s="69">
        <v>1</v>
      </c>
      <c r="K68" s="69">
        <v>20</v>
      </c>
      <c r="L68" s="69">
        <v>25</v>
      </c>
      <c r="M68" s="69">
        <v>10000</v>
      </c>
    </row>
    <row r="69" spans="1:13" x14ac:dyDescent="0.25">
      <c r="A69" s="69" t="s">
        <v>224</v>
      </c>
      <c r="B69" s="69" t="s">
        <v>682</v>
      </c>
      <c r="C69" s="69" t="s">
        <v>680</v>
      </c>
      <c r="D69" s="69">
        <v>500</v>
      </c>
      <c r="E69" s="69">
        <v>80</v>
      </c>
      <c r="F69" s="69">
        <v>80</v>
      </c>
      <c r="G69" s="69">
        <v>400</v>
      </c>
      <c r="H69" s="69">
        <v>80</v>
      </c>
      <c r="I69" s="69">
        <v>2</v>
      </c>
      <c r="J69" s="69">
        <v>1</v>
      </c>
      <c r="K69" s="69">
        <v>20</v>
      </c>
      <c r="L69" s="69">
        <v>25</v>
      </c>
      <c r="M69" s="69">
        <v>12500</v>
      </c>
    </row>
    <row r="70" spans="1:13" x14ac:dyDescent="0.25">
      <c r="A70" s="69" t="s">
        <v>224</v>
      </c>
      <c r="B70" s="69" t="s">
        <v>683</v>
      </c>
      <c r="C70" s="69" t="s">
        <v>680</v>
      </c>
      <c r="D70" s="69">
        <v>500</v>
      </c>
      <c r="E70" s="69">
        <v>80</v>
      </c>
      <c r="F70" s="69">
        <v>80</v>
      </c>
      <c r="G70" s="69">
        <v>400</v>
      </c>
      <c r="H70" s="69">
        <v>80</v>
      </c>
      <c r="I70" s="69">
        <v>2</v>
      </c>
      <c r="J70" s="69">
        <v>1</v>
      </c>
      <c r="K70" s="69">
        <v>20</v>
      </c>
      <c r="L70" s="69">
        <v>25</v>
      </c>
      <c r="M70" s="69">
        <v>15000</v>
      </c>
    </row>
    <row r="71" spans="1:13" x14ac:dyDescent="0.25">
      <c r="A71" s="69" t="s">
        <v>224</v>
      </c>
      <c r="B71" s="69" t="s">
        <v>684</v>
      </c>
      <c r="C71" s="69" t="s">
        <v>680</v>
      </c>
      <c r="D71" s="69">
        <v>500</v>
      </c>
      <c r="E71" s="69">
        <v>80</v>
      </c>
      <c r="F71" s="69">
        <v>80</v>
      </c>
      <c r="G71" s="69">
        <v>400</v>
      </c>
      <c r="H71" s="69">
        <v>80</v>
      </c>
      <c r="I71" s="69">
        <v>2</v>
      </c>
      <c r="J71" s="69">
        <v>1</v>
      </c>
      <c r="K71" s="69">
        <v>20</v>
      </c>
      <c r="L71" s="69">
        <v>25</v>
      </c>
      <c r="M71" s="69">
        <v>15000</v>
      </c>
    </row>
    <row r="72" spans="1:13" x14ac:dyDescent="0.25">
      <c r="A72" s="69" t="s">
        <v>224</v>
      </c>
      <c r="B72" s="69" t="s">
        <v>685</v>
      </c>
      <c r="C72" s="69" t="s">
        <v>686</v>
      </c>
      <c r="D72" s="69">
        <v>500</v>
      </c>
      <c r="E72" s="69">
        <v>80</v>
      </c>
      <c r="F72" s="69">
        <v>80</v>
      </c>
      <c r="G72" s="69">
        <v>400</v>
      </c>
      <c r="H72" s="69">
        <v>80</v>
      </c>
      <c r="I72" s="69">
        <v>2</v>
      </c>
      <c r="J72" s="69">
        <v>1</v>
      </c>
      <c r="K72" s="69">
        <v>20</v>
      </c>
      <c r="L72" s="69">
        <v>25</v>
      </c>
      <c r="M72" s="69">
        <v>12000</v>
      </c>
    </row>
    <row r="73" spans="1:13" x14ac:dyDescent="0.25">
      <c r="A73" s="69" t="s">
        <v>224</v>
      </c>
      <c r="B73" s="69" t="s">
        <v>687</v>
      </c>
      <c r="C73" s="69" t="s">
        <v>688</v>
      </c>
      <c r="D73" s="69">
        <v>500</v>
      </c>
      <c r="E73" s="69">
        <v>65</v>
      </c>
      <c r="F73" s="69">
        <v>30</v>
      </c>
      <c r="G73" s="69">
        <v>440</v>
      </c>
      <c r="H73" s="69">
        <v>30</v>
      </c>
      <c r="I73" s="69">
        <v>1</v>
      </c>
      <c r="J73" s="69" t="s">
        <v>215</v>
      </c>
      <c r="K73" s="69">
        <v>18</v>
      </c>
      <c r="L73" s="69">
        <v>20</v>
      </c>
      <c r="M73" s="69">
        <v>2000</v>
      </c>
    </row>
    <row r="74" spans="1:13" x14ac:dyDescent="0.25">
      <c r="A74" s="69" t="s">
        <v>224</v>
      </c>
      <c r="B74" s="69" t="s">
        <v>689</v>
      </c>
      <c r="C74" s="69" t="s">
        <v>688</v>
      </c>
      <c r="D74" s="69">
        <v>500</v>
      </c>
      <c r="E74" s="69">
        <v>65</v>
      </c>
      <c r="F74" s="69">
        <v>30</v>
      </c>
      <c r="G74" s="69">
        <v>440</v>
      </c>
      <c r="H74" s="69">
        <v>30</v>
      </c>
      <c r="I74" s="69">
        <v>1</v>
      </c>
      <c r="J74" s="69" t="s">
        <v>215</v>
      </c>
      <c r="K74" s="69">
        <v>18</v>
      </c>
      <c r="L74" s="69">
        <v>20</v>
      </c>
      <c r="M74" s="69">
        <v>3000</v>
      </c>
    </row>
    <row r="75" spans="1:13" x14ac:dyDescent="0.25">
      <c r="A75" s="69" t="s">
        <v>224</v>
      </c>
      <c r="B75" s="69" t="s">
        <v>690</v>
      </c>
      <c r="C75" s="69" t="s">
        <v>688</v>
      </c>
      <c r="D75" s="69">
        <v>500</v>
      </c>
      <c r="E75" s="69">
        <v>65</v>
      </c>
      <c r="F75" s="69">
        <v>55</v>
      </c>
      <c r="G75" s="69">
        <v>440</v>
      </c>
      <c r="H75" s="69">
        <v>55</v>
      </c>
      <c r="I75" s="69">
        <v>1</v>
      </c>
      <c r="J75" s="69" t="s">
        <v>215</v>
      </c>
      <c r="K75" s="69">
        <v>18</v>
      </c>
      <c r="L75" s="69">
        <v>20</v>
      </c>
      <c r="M75" s="69">
        <v>4000</v>
      </c>
    </row>
    <row r="76" spans="1:13" x14ac:dyDescent="0.25">
      <c r="A76" s="69" t="s">
        <v>224</v>
      </c>
      <c r="B76" s="69" t="s">
        <v>691</v>
      </c>
      <c r="C76" s="69" t="s">
        <v>688</v>
      </c>
      <c r="D76" s="69">
        <v>500</v>
      </c>
      <c r="E76" s="69">
        <v>65</v>
      </c>
      <c r="F76" s="69">
        <v>55</v>
      </c>
      <c r="G76" s="69">
        <v>440</v>
      </c>
      <c r="H76" s="69">
        <v>55</v>
      </c>
      <c r="I76" s="69">
        <v>1</v>
      </c>
      <c r="J76" s="69" t="s">
        <v>215</v>
      </c>
      <c r="K76" s="69">
        <v>18</v>
      </c>
      <c r="L76" s="69">
        <v>20</v>
      </c>
      <c r="M76" s="69">
        <v>4000</v>
      </c>
    </row>
    <row r="77" spans="1:13" x14ac:dyDescent="0.25">
      <c r="A77" s="69" t="s">
        <v>224</v>
      </c>
      <c r="B77" s="69" t="s">
        <v>692</v>
      </c>
      <c r="C77" s="69" t="s">
        <v>688</v>
      </c>
      <c r="D77" s="69">
        <v>500</v>
      </c>
      <c r="E77" s="69">
        <v>90</v>
      </c>
      <c r="F77" s="69">
        <v>100</v>
      </c>
      <c r="G77" s="69">
        <v>440</v>
      </c>
      <c r="H77" s="69">
        <v>100</v>
      </c>
      <c r="I77" s="69">
        <v>1</v>
      </c>
      <c r="J77" s="69" t="s">
        <v>215</v>
      </c>
      <c r="K77" s="69">
        <v>27</v>
      </c>
      <c r="L77" s="69">
        <v>35</v>
      </c>
      <c r="M77" s="69">
        <v>6500</v>
      </c>
    </row>
    <row r="78" spans="1:13" x14ac:dyDescent="0.25">
      <c r="A78" s="69" t="s">
        <v>224</v>
      </c>
      <c r="B78" s="69" t="s">
        <v>695</v>
      </c>
      <c r="C78" s="69" t="s">
        <v>696</v>
      </c>
      <c r="D78" s="69">
        <v>550</v>
      </c>
      <c r="E78" s="69">
        <v>120</v>
      </c>
      <c r="F78" s="69">
        <v>120</v>
      </c>
      <c r="G78" s="69">
        <v>480</v>
      </c>
      <c r="H78" s="69">
        <v>120</v>
      </c>
      <c r="I78" s="69">
        <v>6</v>
      </c>
      <c r="J78" s="69" t="s">
        <v>215</v>
      </c>
      <c r="K78" s="69">
        <v>34</v>
      </c>
      <c r="L78" s="69">
        <v>50</v>
      </c>
      <c r="M78" s="69">
        <v>48000</v>
      </c>
    </row>
    <row r="79" spans="1:13" x14ac:dyDescent="0.25">
      <c r="A79" s="69" t="s">
        <v>224</v>
      </c>
      <c r="B79" s="69" t="s">
        <v>697</v>
      </c>
      <c r="C79" s="69" t="s">
        <v>698</v>
      </c>
      <c r="D79" s="69">
        <v>550</v>
      </c>
      <c r="E79" s="69">
        <v>140</v>
      </c>
      <c r="F79" s="69">
        <v>120</v>
      </c>
      <c r="G79" s="69">
        <v>440</v>
      </c>
      <c r="H79" s="69">
        <v>120</v>
      </c>
      <c r="I79" s="69">
        <v>2</v>
      </c>
      <c r="J79" s="69">
        <v>2</v>
      </c>
      <c r="K79" s="69">
        <v>26</v>
      </c>
      <c r="L79" s="69">
        <v>31</v>
      </c>
      <c r="M79" s="69">
        <v>12000</v>
      </c>
    </row>
    <row r="80" spans="1:13" x14ac:dyDescent="0.25">
      <c r="A80" s="69" t="s">
        <v>224</v>
      </c>
      <c r="B80" s="69" t="s">
        <v>699</v>
      </c>
      <c r="C80" s="69" t="s">
        <v>698</v>
      </c>
      <c r="D80" s="69">
        <v>550</v>
      </c>
      <c r="E80" s="69">
        <v>140</v>
      </c>
      <c r="F80" s="69">
        <v>120</v>
      </c>
      <c r="G80" s="69">
        <v>440</v>
      </c>
      <c r="H80" s="69">
        <v>120</v>
      </c>
      <c r="I80" s="69">
        <v>2</v>
      </c>
      <c r="J80" s="69">
        <v>2</v>
      </c>
      <c r="K80" s="69">
        <v>26</v>
      </c>
      <c r="L80" s="69">
        <v>31</v>
      </c>
      <c r="M80" s="69">
        <v>14000</v>
      </c>
    </row>
    <row r="81" spans="1:13" x14ac:dyDescent="0.25">
      <c r="A81" s="69" t="s">
        <v>224</v>
      </c>
      <c r="B81" s="69" t="s">
        <v>700</v>
      </c>
      <c r="C81" s="69" t="s">
        <v>698</v>
      </c>
      <c r="D81" s="69">
        <v>550</v>
      </c>
      <c r="E81" s="69">
        <v>140</v>
      </c>
      <c r="F81" s="69">
        <v>120</v>
      </c>
      <c r="G81" s="69">
        <v>440</v>
      </c>
      <c r="H81" s="69">
        <v>120</v>
      </c>
      <c r="I81" s="69">
        <v>2</v>
      </c>
      <c r="J81" s="69">
        <v>2</v>
      </c>
      <c r="K81" s="69">
        <v>26</v>
      </c>
      <c r="L81" s="69">
        <v>31</v>
      </c>
      <c r="M81" s="69">
        <v>19000</v>
      </c>
    </row>
    <row r="82" spans="1:13" x14ac:dyDescent="0.25">
      <c r="A82" s="69" t="s">
        <v>224</v>
      </c>
      <c r="B82" s="69" t="s">
        <v>701</v>
      </c>
      <c r="C82" s="69" t="s">
        <v>698</v>
      </c>
      <c r="D82" s="69">
        <v>550</v>
      </c>
      <c r="E82" s="69">
        <v>140</v>
      </c>
      <c r="F82" s="69">
        <v>120</v>
      </c>
      <c r="G82" s="69">
        <v>440</v>
      </c>
      <c r="H82" s="69">
        <v>120</v>
      </c>
      <c r="I82" s="69">
        <v>2</v>
      </c>
      <c r="J82" s="69">
        <v>2</v>
      </c>
      <c r="K82" s="69">
        <v>26</v>
      </c>
      <c r="L82" s="69">
        <v>31</v>
      </c>
      <c r="M82" s="69">
        <v>21000</v>
      </c>
    </row>
    <row r="83" spans="1:13" x14ac:dyDescent="0.25">
      <c r="A83" s="69" t="s">
        <v>224</v>
      </c>
      <c r="B83" s="69" t="s">
        <v>702</v>
      </c>
      <c r="C83" s="69" t="s">
        <v>703</v>
      </c>
      <c r="D83" s="69">
        <v>550</v>
      </c>
      <c r="E83" s="69">
        <v>140</v>
      </c>
      <c r="F83" s="69">
        <v>120</v>
      </c>
      <c r="G83" s="69">
        <v>440</v>
      </c>
      <c r="H83" s="69">
        <v>120</v>
      </c>
      <c r="I83" s="69">
        <v>2</v>
      </c>
      <c r="J83" s="69">
        <v>2</v>
      </c>
      <c r="K83" s="69">
        <v>26</v>
      </c>
      <c r="L83" s="69">
        <v>31</v>
      </c>
      <c r="M83" s="69">
        <v>21000</v>
      </c>
    </row>
    <row r="84" spans="1:13" x14ac:dyDescent="0.25">
      <c r="A84" s="69" t="s">
        <v>224</v>
      </c>
      <c r="B84" s="69" t="s">
        <v>704</v>
      </c>
      <c r="C84" s="69" t="s">
        <v>705</v>
      </c>
      <c r="D84" s="69">
        <v>550</v>
      </c>
      <c r="E84" s="69">
        <v>140</v>
      </c>
      <c r="F84" s="69">
        <v>120</v>
      </c>
      <c r="G84" s="69">
        <v>440</v>
      </c>
      <c r="H84" s="69">
        <v>120</v>
      </c>
      <c r="I84" s="69">
        <v>3</v>
      </c>
      <c r="J84" s="69" t="s">
        <v>215</v>
      </c>
      <c r="K84" s="69">
        <v>26</v>
      </c>
      <c r="L84" s="69">
        <v>31</v>
      </c>
      <c r="M84" s="69">
        <v>25000</v>
      </c>
    </row>
    <row r="85" spans="1:13" x14ac:dyDescent="0.25">
      <c r="A85" s="69" t="s">
        <v>224</v>
      </c>
      <c r="B85" s="69" t="s">
        <v>706</v>
      </c>
      <c r="C85" s="69" t="s">
        <v>705</v>
      </c>
      <c r="D85" s="69">
        <v>550</v>
      </c>
      <c r="E85" s="69">
        <v>140</v>
      </c>
      <c r="F85" s="69">
        <v>120</v>
      </c>
      <c r="G85" s="69">
        <v>440</v>
      </c>
      <c r="H85" s="69">
        <v>120</v>
      </c>
      <c r="I85" s="69">
        <v>3</v>
      </c>
      <c r="J85" s="69" t="s">
        <v>215</v>
      </c>
      <c r="K85" s="69">
        <v>26</v>
      </c>
      <c r="L85" s="69">
        <v>31</v>
      </c>
      <c r="M85" s="69">
        <v>25000</v>
      </c>
    </row>
    <row r="86" spans="1:13" x14ac:dyDescent="0.25">
      <c r="A86" s="69" t="s">
        <v>224</v>
      </c>
      <c r="B86" s="69" t="s">
        <v>707</v>
      </c>
      <c r="C86" s="69" t="s">
        <v>705</v>
      </c>
      <c r="D86" s="69">
        <v>550</v>
      </c>
      <c r="E86" s="69">
        <v>140</v>
      </c>
      <c r="F86" s="69">
        <v>120</v>
      </c>
      <c r="G86" s="69">
        <v>440</v>
      </c>
      <c r="H86" s="69">
        <v>120</v>
      </c>
      <c r="I86" s="69">
        <v>3</v>
      </c>
      <c r="J86" s="69" t="s">
        <v>215</v>
      </c>
      <c r="K86" s="69">
        <v>26</v>
      </c>
      <c r="L86" s="69">
        <v>31</v>
      </c>
      <c r="M86" s="69">
        <v>25000</v>
      </c>
    </row>
    <row r="87" spans="1:13" x14ac:dyDescent="0.25">
      <c r="A87" s="69" t="s">
        <v>224</v>
      </c>
      <c r="B87" s="69" t="s">
        <v>708</v>
      </c>
      <c r="C87" s="69" t="s">
        <v>705</v>
      </c>
      <c r="D87" s="69">
        <v>550</v>
      </c>
      <c r="E87" s="69">
        <v>140</v>
      </c>
      <c r="F87" s="69">
        <v>120</v>
      </c>
      <c r="G87" s="69">
        <v>440</v>
      </c>
      <c r="H87" s="69">
        <v>120</v>
      </c>
      <c r="I87" s="69">
        <v>3</v>
      </c>
      <c r="J87" s="69" t="s">
        <v>215</v>
      </c>
      <c r="K87" s="69">
        <v>26</v>
      </c>
      <c r="L87" s="69">
        <v>31</v>
      </c>
      <c r="M87" s="69">
        <v>25000</v>
      </c>
    </row>
    <row r="88" spans="1:13" x14ac:dyDescent="0.25">
      <c r="A88" s="69" t="s">
        <v>224</v>
      </c>
      <c r="B88" s="69" t="s">
        <v>709</v>
      </c>
      <c r="C88" s="69" t="s">
        <v>710</v>
      </c>
      <c r="D88" s="69">
        <v>550</v>
      </c>
      <c r="E88" s="69">
        <v>100</v>
      </c>
      <c r="F88" s="69">
        <v>120</v>
      </c>
      <c r="G88" s="69">
        <v>440</v>
      </c>
      <c r="H88" s="69">
        <v>120</v>
      </c>
      <c r="I88" s="69">
        <v>3</v>
      </c>
      <c r="J88" s="69">
        <v>1</v>
      </c>
      <c r="K88" s="69">
        <v>26</v>
      </c>
      <c r="L88" s="69">
        <v>31</v>
      </c>
      <c r="M88" s="69">
        <v>12000</v>
      </c>
    </row>
    <row r="89" spans="1:13" x14ac:dyDescent="0.25">
      <c r="A89" s="69" t="s">
        <v>224</v>
      </c>
      <c r="B89" s="69" t="s">
        <v>711</v>
      </c>
      <c r="C89" s="69" t="s">
        <v>710</v>
      </c>
      <c r="D89" s="69">
        <v>550</v>
      </c>
      <c r="E89" s="69">
        <v>100</v>
      </c>
      <c r="F89" s="69">
        <v>120</v>
      </c>
      <c r="G89" s="69">
        <v>440</v>
      </c>
      <c r="H89" s="69">
        <v>120</v>
      </c>
      <c r="I89" s="69">
        <v>3</v>
      </c>
      <c r="J89" s="69">
        <v>1</v>
      </c>
      <c r="K89" s="69">
        <v>26</v>
      </c>
      <c r="L89" s="69">
        <v>31</v>
      </c>
      <c r="M89" s="69">
        <v>12000</v>
      </c>
    </row>
    <row r="90" spans="1:13" x14ac:dyDescent="0.25">
      <c r="A90" s="69" t="s">
        <v>224</v>
      </c>
      <c r="B90" s="69" t="s">
        <v>712</v>
      </c>
      <c r="C90" s="69" t="s">
        <v>710</v>
      </c>
      <c r="D90" s="69">
        <v>550</v>
      </c>
      <c r="E90" s="69">
        <v>100</v>
      </c>
      <c r="F90" s="69">
        <v>120</v>
      </c>
      <c r="G90" s="69">
        <v>440</v>
      </c>
      <c r="H90" s="69">
        <v>120</v>
      </c>
      <c r="I90" s="69">
        <v>3</v>
      </c>
      <c r="J90" s="69">
        <v>1</v>
      </c>
      <c r="K90" s="69">
        <v>26</v>
      </c>
      <c r="L90" s="69">
        <v>31</v>
      </c>
      <c r="M90" s="69">
        <v>12000</v>
      </c>
    </row>
    <row r="91" spans="1:13" x14ac:dyDescent="0.25">
      <c r="A91" s="69" t="s">
        <v>224</v>
      </c>
      <c r="B91" s="69" t="s">
        <v>713</v>
      </c>
      <c r="C91" s="69" t="s">
        <v>710</v>
      </c>
      <c r="D91" s="69">
        <v>550</v>
      </c>
      <c r="E91" s="69">
        <v>100</v>
      </c>
      <c r="F91" s="69">
        <v>120</v>
      </c>
      <c r="G91" s="69">
        <v>440</v>
      </c>
      <c r="H91" s="69">
        <v>120</v>
      </c>
      <c r="I91" s="69">
        <v>3</v>
      </c>
      <c r="J91" s="69">
        <v>1</v>
      </c>
      <c r="K91" s="69">
        <v>26</v>
      </c>
      <c r="L91" s="69">
        <v>31</v>
      </c>
      <c r="M91" s="69">
        <v>15000</v>
      </c>
    </row>
    <row r="92" spans="1:13" x14ac:dyDescent="0.25">
      <c r="A92" s="69" t="s">
        <v>224</v>
      </c>
      <c r="B92" s="69" t="s">
        <v>714</v>
      </c>
      <c r="C92" s="69" t="s">
        <v>710</v>
      </c>
      <c r="D92" s="69">
        <v>550</v>
      </c>
      <c r="E92" s="69">
        <v>100</v>
      </c>
      <c r="F92" s="69">
        <v>120</v>
      </c>
      <c r="G92" s="69">
        <v>440</v>
      </c>
      <c r="H92" s="69">
        <v>120</v>
      </c>
      <c r="I92" s="69">
        <v>3</v>
      </c>
      <c r="J92" s="69">
        <v>1</v>
      </c>
      <c r="K92" s="69">
        <v>26</v>
      </c>
      <c r="L92" s="69">
        <v>31</v>
      </c>
      <c r="M92" s="69">
        <v>18000</v>
      </c>
    </row>
    <row r="93" spans="1:13" x14ac:dyDescent="0.25">
      <c r="A93" s="69" t="s">
        <v>224</v>
      </c>
      <c r="B93" s="69" t="s">
        <v>715</v>
      </c>
      <c r="C93" s="69" t="s">
        <v>710</v>
      </c>
      <c r="D93" s="69">
        <v>550</v>
      </c>
      <c r="E93" s="69">
        <v>100</v>
      </c>
      <c r="F93" s="69">
        <v>120</v>
      </c>
      <c r="G93" s="69">
        <v>440</v>
      </c>
      <c r="H93" s="69">
        <v>120</v>
      </c>
      <c r="I93" s="69">
        <v>3</v>
      </c>
      <c r="J93" s="69">
        <v>1</v>
      </c>
      <c r="K93" s="69">
        <v>26</v>
      </c>
      <c r="L93" s="69">
        <v>31</v>
      </c>
      <c r="M93" s="69">
        <v>18000</v>
      </c>
    </row>
    <row r="94" spans="1:13" x14ac:dyDescent="0.25">
      <c r="A94" s="69" t="s">
        <v>224</v>
      </c>
      <c r="B94" s="69" t="s">
        <v>718</v>
      </c>
      <c r="C94" s="69" t="s">
        <v>719</v>
      </c>
      <c r="D94" s="69">
        <v>500</v>
      </c>
      <c r="E94" s="81" t="s">
        <v>215</v>
      </c>
      <c r="F94" s="69">
        <v>60</v>
      </c>
      <c r="G94" s="69">
        <v>450</v>
      </c>
      <c r="H94" s="69">
        <v>60</v>
      </c>
      <c r="I94" s="69">
        <v>1</v>
      </c>
      <c r="J94" s="69" t="s">
        <v>215</v>
      </c>
      <c r="K94" s="81">
        <v>22</v>
      </c>
      <c r="L94" s="81" t="s">
        <v>215</v>
      </c>
      <c r="M94" s="69">
        <v>6500</v>
      </c>
    </row>
    <row r="95" spans="1:13" x14ac:dyDescent="0.25">
      <c r="A95" s="69" t="s">
        <v>224</v>
      </c>
      <c r="B95" s="69" t="s">
        <v>720</v>
      </c>
      <c r="C95" s="69" t="s">
        <v>721</v>
      </c>
      <c r="D95" s="69">
        <v>500</v>
      </c>
      <c r="E95" s="81" t="s">
        <v>215</v>
      </c>
      <c r="F95" s="69">
        <v>60</v>
      </c>
      <c r="G95" s="69">
        <v>450</v>
      </c>
      <c r="H95" s="69">
        <v>60</v>
      </c>
      <c r="I95" s="69">
        <v>1</v>
      </c>
      <c r="J95" s="69" t="s">
        <v>215</v>
      </c>
      <c r="K95" s="81">
        <v>22</v>
      </c>
      <c r="L95" s="81" t="s">
        <v>215</v>
      </c>
      <c r="M95" s="69">
        <v>6500</v>
      </c>
    </row>
    <row r="96" spans="1:13" x14ac:dyDescent="0.25">
      <c r="A96" s="69" t="s">
        <v>224</v>
      </c>
      <c r="B96" s="69" t="s">
        <v>722</v>
      </c>
      <c r="C96" s="69" t="s">
        <v>723</v>
      </c>
      <c r="D96" s="81">
        <v>120</v>
      </c>
      <c r="E96" s="69" t="s">
        <v>215</v>
      </c>
      <c r="F96" s="69">
        <v>64</v>
      </c>
      <c r="G96" s="69">
        <v>90</v>
      </c>
      <c r="H96" s="69">
        <v>64</v>
      </c>
      <c r="I96" s="69">
        <v>2</v>
      </c>
      <c r="J96" s="69">
        <v>1</v>
      </c>
      <c r="K96" s="69">
        <v>20</v>
      </c>
      <c r="L96" s="69">
        <v>25</v>
      </c>
      <c r="M96" s="69" t="s">
        <v>215</v>
      </c>
    </row>
    <row r="97" spans="1:13" x14ac:dyDescent="0.25">
      <c r="A97" s="69" t="s">
        <v>224</v>
      </c>
      <c r="B97" s="69" t="s">
        <v>724</v>
      </c>
      <c r="C97" s="69" t="s">
        <v>725</v>
      </c>
      <c r="D97" s="81">
        <v>60</v>
      </c>
      <c r="E97" s="69" t="s">
        <v>215</v>
      </c>
      <c r="F97" s="69">
        <v>28</v>
      </c>
      <c r="G97" s="69">
        <v>45</v>
      </c>
      <c r="H97" s="69">
        <v>28</v>
      </c>
      <c r="I97" s="69">
        <v>2</v>
      </c>
      <c r="J97" s="69">
        <v>1</v>
      </c>
      <c r="K97" s="81">
        <v>20</v>
      </c>
      <c r="L97" s="81" t="s">
        <v>215</v>
      </c>
      <c r="M97" s="69" t="s">
        <v>215</v>
      </c>
    </row>
    <row r="98" spans="1:13" x14ac:dyDescent="0.25">
      <c r="A98" s="69" t="s">
        <v>224</v>
      </c>
      <c r="B98" s="69" t="s">
        <v>726</v>
      </c>
      <c r="C98" s="69" t="s">
        <v>727</v>
      </c>
      <c r="D98" s="81">
        <v>60</v>
      </c>
      <c r="E98" s="69" t="s">
        <v>215</v>
      </c>
      <c r="F98" s="69">
        <v>27</v>
      </c>
      <c r="G98" s="69">
        <v>45</v>
      </c>
      <c r="H98" s="69">
        <v>27</v>
      </c>
      <c r="I98" s="69">
        <v>2</v>
      </c>
      <c r="J98" s="69">
        <v>1</v>
      </c>
      <c r="K98" s="69">
        <v>18</v>
      </c>
      <c r="L98" s="69">
        <v>20</v>
      </c>
      <c r="M98" s="69" t="s">
        <v>215</v>
      </c>
    </row>
    <row r="99" spans="1:13" x14ac:dyDescent="0.25">
      <c r="A99" s="69" t="s">
        <v>224</v>
      </c>
      <c r="B99" s="69" t="s">
        <v>728</v>
      </c>
      <c r="C99" s="69" t="s">
        <v>729</v>
      </c>
      <c r="D99" s="81">
        <v>60</v>
      </c>
      <c r="E99" s="69">
        <v>18</v>
      </c>
      <c r="F99" s="69">
        <v>12</v>
      </c>
      <c r="G99" s="69">
        <v>48</v>
      </c>
      <c r="H99" s="69">
        <v>12</v>
      </c>
      <c r="I99" s="69">
        <v>2</v>
      </c>
      <c r="J99" s="69">
        <v>2</v>
      </c>
      <c r="K99" s="69">
        <v>17</v>
      </c>
      <c r="L99" s="69">
        <v>20</v>
      </c>
      <c r="M99" s="69">
        <v>1800</v>
      </c>
    </row>
    <row r="100" spans="1:13" x14ac:dyDescent="0.25">
      <c r="A100" s="69" t="s">
        <v>224</v>
      </c>
      <c r="B100" s="69" t="s">
        <v>730</v>
      </c>
      <c r="C100" s="69" t="s">
        <v>731</v>
      </c>
      <c r="D100" s="81">
        <v>60</v>
      </c>
      <c r="E100" s="69" t="s">
        <v>215</v>
      </c>
      <c r="F100" s="69">
        <v>28</v>
      </c>
      <c r="G100" s="69">
        <v>48</v>
      </c>
      <c r="H100" s="69">
        <v>28</v>
      </c>
      <c r="I100" s="69">
        <v>4</v>
      </c>
      <c r="J100" s="69">
        <v>1</v>
      </c>
      <c r="K100" s="69">
        <v>20</v>
      </c>
      <c r="L100" s="69">
        <v>25</v>
      </c>
      <c r="M100" s="69" t="s">
        <v>215</v>
      </c>
    </row>
    <row r="101" spans="1:13" x14ac:dyDescent="0.25">
      <c r="A101" s="69" t="s">
        <v>224</v>
      </c>
      <c r="B101" s="69" t="s">
        <v>732</v>
      </c>
      <c r="C101" s="69" t="s">
        <v>733</v>
      </c>
      <c r="D101" s="81">
        <v>60</v>
      </c>
      <c r="E101" s="69" t="s">
        <v>215</v>
      </c>
      <c r="F101" s="69">
        <v>32</v>
      </c>
      <c r="G101" s="69">
        <v>45</v>
      </c>
      <c r="H101" s="69">
        <v>32</v>
      </c>
      <c r="I101" s="69">
        <v>2</v>
      </c>
      <c r="J101" s="69" t="s">
        <v>215</v>
      </c>
      <c r="K101" s="69">
        <v>20</v>
      </c>
      <c r="L101" s="69">
        <v>25</v>
      </c>
      <c r="M101" s="69" t="s">
        <v>215</v>
      </c>
    </row>
    <row r="102" spans="1:13" x14ac:dyDescent="0.25">
      <c r="A102" s="69" t="s">
        <v>224</v>
      </c>
      <c r="B102" s="69" t="s">
        <v>734</v>
      </c>
      <c r="C102" s="69" t="s">
        <v>735</v>
      </c>
      <c r="D102" s="81">
        <v>60</v>
      </c>
      <c r="E102" s="69" t="s">
        <v>215</v>
      </c>
      <c r="F102" s="69">
        <v>22</v>
      </c>
      <c r="G102" s="69">
        <v>48</v>
      </c>
      <c r="H102" s="69">
        <v>22</v>
      </c>
      <c r="I102" s="69">
        <v>2</v>
      </c>
      <c r="J102" s="69">
        <v>1</v>
      </c>
      <c r="K102" s="69">
        <v>12</v>
      </c>
      <c r="L102" s="69">
        <v>13.2</v>
      </c>
      <c r="M102" s="69" t="s">
        <v>215</v>
      </c>
    </row>
    <row r="103" spans="1:13" x14ac:dyDescent="0.25">
      <c r="A103" s="69" t="s">
        <v>224</v>
      </c>
      <c r="B103" s="69" t="s">
        <v>738</v>
      </c>
      <c r="C103" s="69" t="s">
        <v>739</v>
      </c>
      <c r="D103" s="81">
        <v>480</v>
      </c>
      <c r="E103" s="69">
        <v>100</v>
      </c>
      <c r="F103" s="69">
        <v>120</v>
      </c>
      <c r="G103" s="69">
        <v>385</v>
      </c>
      <c r="H103" s="69">
        <v>120</v>
      </c>
      <c r="I103" s="69">
        <v>2</v>
      </c>
      <c r="J103" s="69">
        <v>1</v>
      </c>
      <c r="K103" s="69">
        <v>17</v>
      </c>
      <c r="L103" s="69">
        <v>25</v>
      </c>
      <c r="M103" s="69">
        <v>9600</v>
      </c>
    </row>
    <row r="104" spans="1:13" x14ac:dyDescent="0.25">
      <c r="A104" s="69" t="s">
        <v>224</v>
      </c>
      <c r="B104" s="69" t="s">
        <v>740</v>
      </c>
      <c r="C104" s="69" t="s">
        <v>741</v>
      </c>
      <c r="D104" s="69">
        <v>1100</v>
      </c>
      <c r="E104" s="69">
        <v>330</v>
      </c>
      <c r="F104" s="69">
        <v>300</v>
      </c>
      <c r="G104" s="69" t="s">
        <v>215</v>
      </c>
      <c r="H104" s="69">
        <v>300</v>
      </c>
      <c r="I104" s="69">
        <v>12</v>
      </c>
      <c r="J104" s="69">
        <v>2</v>
      </c>
      <c r="K104" s="69">
        <v>26</v>
      </c>
      <c r="L104" s="69">
        <v>33</v>
      </c>
      <c r="M104" s="69">
        <v>200000</v>
      </c>
    </row>
  </sheetData>
  <conditionalFormatting sqref="C61">
    <cfRule type="duplicateValues" dxfId="1" priority="2"/>
  </conditionalFormatting>
  <conditionalFormatting sqref="A62">
    <cfRule type="duplicateValues" dxfId="0" priority="1"/>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A6066-98FF-4CD5-80D8-1C0E67D0E399}">
  <sheetPr codeName="Hoja12"/>
  <dimension ref="A1:O36"/>
  <sheetViews>
    <sheetView topLeftCell="D1" workbookViewId="0">
      <selection activeCell="L38" sqref="L38"/>
    </sheetView>
  </sheetViews>
  <sheetFormatPr baseColWidth="10" defaultRowHeight="15" x14ac:dyDescent="0.25"/>
  <cols>
    <col min="1" max="1" width="29.28515625" customWidth="1"/>
    <col min="2" max="2" width="58.42578125" bestFit="1" customWidth="1"/>
    <col min="3" max="3" width="75.7109375" bestFit="1" customWidth="1"/>
    <col min="4" max="4" width="22.140625" customWidth="1"/>
    <col min="5" max="5" width="15.7109375" bestFit="1" customWidth="1"/>
    <col min="6" max="6" width="17.28515625" bestFit="1" customWidth="1"/>
    <col min="7" max="7" width="15.7109375" bestFit="1" customWidth="1"/>
    <col min="8" max="8" width="26.28515625" customWidth="1"/>
    <col min="9" max="9" width="14.7109375" bestFit="1" customWidth="1"/>
    <col min="10" max="10" width="17" bestFit="1" customWidth="1"/>
    <col min="11" max="11" width="16.28515625" bestFit="1" customWidth="1"/>
    <col min="12" max="12" width="17.42578125" bestFit="1" customWidth="1"/>
    <col min="13" max="13" width="11.7109375" bestFit="1" customWidth="1"/>
    <col min="14" max="14" width="11.28515625" bestFit="1" customWidth="1"/>
    <col min="15" max="15" width="13.42578125" bestFit="1" customWidth="1"/>
  </cols>
  <sheetData>
    <row r="1" spans="1:15" ht="17.25" x14ac:dyDescent="0.3">
      <c r="A1" s="23" t="s">
        <v>295</v>
      </c>
    </row>
    <row r="2" spans="1:15" x14ac:dyDescent="0.25">
      <c r="A2" s="41" t="s">
        <v>143</v>
      </c>
    </row>
    <row r="3" spans="1:15" x14ac:dyDescent="0.25">
      <c r="A3" s="24" t="s">
        <v>351</v>
      </c>
    </row>
    <row r="4" spans="1:15" x14ac:dyDescent="0.25">
      <c r="E4">
        <v>200</v>
      </c>
    </row>
    <row r="5" spans="1:15" x14ac:dyDescent="0.25">
      <c r="A5" s="22" t="s">
        <v>224</v>
      </c>
      <c r="E5" s="56">
        <v>200</v>
      </c>
    </row>
    <row r="6" spans="1:15" x14ac:dyDescent="0.25">
      <c r="A6" t="s">
        <v>315</v>
      </c>
      <c r="B6" t="s">
        <v>284</v>
      </c>
      <c r="E6" s="56">
        <v>200</v>
      </c>
    </row>
    <row r="7" spans="1:15" x14ac:dyDescent="0.25">
      <c r="A7" t="s">
        <v>316</v>
      </c>
      <c r="B7" t="s">
        <v>309</v>
      </c>
      <c r="E7" s="56">
        <v>200</v>
      </c>
    </row>
    <row r="8" spans="1:15" x14ac:dyDescent="0.25">
      <c r="A8" t="s">
        <v>224</v>
      </c>
      <c r="B8">
        <v>8</v>
      </c>
      <c r="C8" t="s">
        <v>317</v>
      </c>
      <c r="E8" s="56">
        <v>200</v>
      </c>
    </row>
    <row r="9" spans="1:15" x14ac:dyDescent="0.25">
      <c r="A9" s="68" t="s">
        <v>224</v>
      </c>
      <c r="B9" s="68" t="s">
        <v>350</v>
      </c>
      <c r="C9" s="68"/>
    </row>
    <row r="10" spans="1:15" x14ac:dyDescent="0.25">
      <c r="A10" t="s">
        <v>224</v>
      </c>
      <c r="B10" t="s">
        <v>318</v>
      </c>
      <c r="C10" t="s">
        <v>319</v>
      </c>
    </row>
    <row r="11" spans="1:15" x14ac:dyDescent="0.25">
      <c r="A11" t="s">
        <v>224</v>
      </c>
      <c r="B11" t="s">
        <v>320</v>
      </c>
    </row>
    <row r="12" spans="1:15" x14ac:dyDescent="0.25">
      <c r="A12" t="s">
        <v>224</v>
      </c>
      <c r="B12" t="s">
        <v>321</v>
      </c>
      <c r="C12" t="s">
        <v>322</v>
      </c>
    </row>
    <row r="13" spans="1:15" x14ac:dyDescent="0.25">
      <c r="A13" t="s">
        <v>224</v>
      </c>
    </row>
    <row r="14" spans="1:15" x14ac:dyDescent="0.25">
      <c r="A14" s="22" t="s">
        <v>224</v>
      </c>
    </row>
    <row r="15" spans="1:15" x14ac:dyDescent="0.25">
      <c r="A15" s="30" t="s">
        <v>224</v>
      </c>
      <c r="B15" s="30" t="s">
        <v>153</v>
      </c>
      <c r="C15" s="30" t="s">
        <v>188</v>
      </c>
      <c r="D15" s="30" t="s">
        <v>189</v>
      </c>
      <c r="E15" s="30" t="s">
        <v>154</v>
      </c>
      <c r="F15" s="30" t="s">
        <v>155</v>
      </c>
      <c r="G15" s="30" t="s">
        <v>156</v>
      </c>
      <c r="H15" s="30" t="s">
        <v>157</v>
      </c>
      <c r="I15" s="30" t="s">
        <v>158</v>
      </c>
      <c r="J15" s="30" t="s">
        <v>159</v>
      </c>
      <c r="K15" s="30" t="s">
        <v>323</v>
      </c>
      <c r="L15" s="30" t="s">
        <v>160</v>
      </c>
      <c r="M15" s="30" t="s">
        <v>161</v>
      </c>
      <c r="N15" s="30" t="s">
        <v>162</v>
      </c>
      <c r="O15" s="30" t="s">
        <v>324</v>
      </c>
    </row>
    <row r="16" spans="1:15" x14ac:dyDescent="0.25">
      <c r="A16" s="42" t="s">
        <v>224</v>
      </c>
      <c r="B16" s="43">
        <v>900</v>
      </c>
      <c r="C16" s="44">
        <v>58.875</v>
      </c>
      <c r="D16" s="44">
        <v>54.987500000000004</v>
      </c>
      <c r="E16" s="44">
        <v>507.56916095430188</v>
      </c>
      <c r="F16" s="45">
        <v>347.9033390007346</v>
      </c>
      <c r="G16" s="44">
        <v>533.53977215800433</v>
      </c>
      <c r="H16" s="30" t="s">
        <v>157</v>
      </c>
      <c r="I16" s="45">
        <v>681.37650867419927</v>
      </c>
      <c r="J16" s="44">
        <v>519.74638702702043</v>
      </c>
      <c r="K16" s="45">
        <v>1.3075018099308524</v>
      </c>
      <c r="L16" s="45">
        <v>679.56934174285061</v>
      </c>
      <c r="M16" s="46">
        <v>1.8071669313486609</v>
      </c>
      <c r="N16" s="47">
        <v>0.26522295798911366</v>
      </c>
      <c r="O16" t="s">
        <v>83</v>
      </c>
    </row>
    <row r="17" spans="1:15" x14ac:dyDescent="0.25">
      <c r="A17" s="42" t="s">
        <v>224</v>
      </c>
      <c r="B17" s="43">
        <v>700</v>
      </c>
      <c r="C17" s="44">
        <v>58.875</v>
      </c>
      <c r="D17" s="44">
        <v>47.212499999999999</v>
      </c>
      <c r="E17" s="44">
        <v>507.56916095430188</v>
      </c>
      <c r="F17" s="45">
        <v>347.9033390007346</v>
      </c>
      <c r="G17" s="44">
        <v>586.01591851939384</v>
      </c>
      <c r="H17" s="30" t="s">
        <v>157</v>
      </c>
      <c r="I17" s="45">
        <v>639.45069059203229</v>
      </c>
      <c r="J17" s="44">
        <v>535.41625875710463</v>
      </c>
      <c r="K17" s="45">
        <v>1.1677026768408139</v>
      </c>
      <c r="L17" s="45">
        <v>625.20699857476495</v>
      </c>
      <c r="M17" s="52">
        <v>14.243692017267335</v>
      </c>
      <c r="N17" s="53">
        <v>2.2274887222468838</v>
      </c>
      <c r="O17" t="s">
        <v>83</v>
      </c>
    </row>
    <row r="18" spans="1:15" x14ac:dyDescent="0.25">
      <c r="A18" s="42" t="s">
        <v>224</v>
      </c>
      <c r="B18" s="43">
        <v>500</v>
      </c>
      <c r="C18" s="44">
        <v>58.875</v>
      </c>
      <c r="D18" s="44">
        <v>39.4375</v>
      </c>
      <c r="E18" s="44">
        <v>507.56916095430188</v>
      </c>
      <c r="F18" s="45">
        <v>347.9033390007346</v>
      </c>
      <c r="G18" s="44">
        <v>637.86059415759541</v>
      </c>
      <c r="H18" s="30" t="s">
        <v>157</v>
      </c>
      <c r="I18" s="45">
        <v>578.58022459147446</v>
      </c>
      <c r="J18" s="44">
        <v>535.76627653727246</v>
      </c>
      <c r="K18" s="45">
        <v>1.0279019434207184</v>
      </c>
      <c r="L18" s="45">
        <v>550.7151968719445</v>
      </c>
      <c r="M18" s="52">
        <v>27.865027719529962</v>
      </c>
      <c r="N18" s="53">
        <v>4.8161044113121871</v>
      </c>
      <c r="O18" t="s">
        <v>83</v>
      </c>
    </row>
    <row r="19" spans="1:15" x14ac:dyDescent="0.25">
      <c r="A19" s="42" t="s">
        <v>224</v>
      </c>
      <c r="B19" s="43">
        <v>300</v>
      </c>
      <c r="C19" s="44">
        <v>58.875</v>
      </c>
      <c r="D19" s="44">
        <v>31.662500000000001</v>
      </c>
      <c r="E19" s="44">
        <v>507.56916095430188</v>
      </c>
      <c r="F19" s="45">
        <v>347.9033390007346</v>
      </c>
      <c r="G19" s="44">
        <v>684.59896742750266</v>
      </c>
      <c r="H19" s="30" t="s">
        <v>157</v>
      </c>
      <c r="I19" s="45">
        <v>497.85283227381825</v>
      </c>
      <c r="J19" s="44">
        <v>526.55447727679064</v>
      </c>
      <c r="K19" s="45">
        <v>0.89116928201652956</v>
      </c>
      <c r="L19" s="45">
        <v>469.24917545734655</v>
      </c>
      <c r="M19" s="57">
        <v>28.603656816471698</v>
      </c>
      <c r="N19" s="58">
        <v>5.7454040556185353</v>
      </c>
      <c r="O19" t="s">
        <v>83</v>
      </c>
    </row>
    <row r="20" spans="1:15" x14ac:dyDescent="0.25">
      <c r="A20" t="s">
        <v>224</v>
      </c>
      <c r="H20" s="30" t="s">
        <v>157</v>
      </c>
    </row>
    <row r="21" spans="1:15" x14ac:dyDescent="0.25">
      <c r="A21" s="22" t="s">
        <v>224</v>
      </c>
      <c r="H21" s="30" t="s">
        <v>157</v>
      </c>
    </row>
    <row r="22" spans="1:15" x14ac:dyDescent="0.25">
      <c r="A22" s="24" t="s">
        <v>224</v>
      </c>
      <c r="H22" s="30" t="s">
        <v>157</v>
      </c>
    </row>
    <row r="23" spans="1:15" x14ac:dyDescent="0.25">
      <c r="A23" t="s">
        <v>224</v>
      </c>
      <c r="H23" s="30" t="s">
        <v>157</v>
      </c>
    </row>
    <row r="24" spans="1:15" x14ac:dyDescent="0.25">
      <c r="A24" t="s">
        <v>224</v>
      </c>
      <c r="H24" s="45">
        <v>333.47316967346467</v>
      </c>
    </row>
    <row r="25" spans="1:15" x14ac:dyDescent="0.25">
      <c r="A25" t="s">
        <v>224</v>
      </c>
    </row>
    <row r="26" spans="1:15" x14ac:dyDescent="0.25">
      <c r="A26" t="s">
        <v>224</v>
      </c>
    </row>
    <row r="27" spans="1:15" x14ac:dyDescent="0.25">
      <c r="A27" t="s">
        <v>224</v>
      </c>
    </row>
    <row r="28" spans="1:15" x14ac:dyDescent="0.25">
      <c r="A28" t="s">
        <v>224</v>
      </c>
    </row>
    <row r="29" spans="1:15" x14ac:dyDescent="0.25">
      <c r="A29" t="s">
        <v>224</v>
      </c>
    </row>
    <row r="30" spans="1:15" x14ac:dyDescent="0.25">
      <c r="A30" t="s">
        <v>224</v>
      </c>
    </row>
    <row r="31" spans="1:15" x14ac:dyDescent="0.25">
      <c r="A31" t="s">
        <v>224</v>
      </c>
    </row>
    <row r="32" spans="1:15" x14ac:dyDescent="0.25">
      <c r="A32" t="s">
        <v>224</v>
      </c>
    </row>
    <row r="33" spans="1:11" x14ac:dyDescent="0.25">
      <c r="A33" t="s">
        <v>224</v>
      </c>
      <c r="K33">
        <v>13</v>
      </c>
    </row>
    <row r="34" spans="1:11" x14ac:dyDescent="0.25">
      <c r="A34" t="s">
        <v>224</v>
      </c>
      <c r="H34">
        <v>200</v>
      </c>
      <c r="K34">
        <v>26</v>
      </c>
    </row>
    <row r="35" spans="1:11" x14ac:dyDescent="0.25">
      <c r="A35" t="s">
        <v>224</v>
      </c>
      <c r="K35">
        <v>26</v>
      </c>
    </row>
    <row r="36" spans="1:11" x14ac:dyDescent="0.25">
      <c r="A36" t="s">
        <v>224</v>
      </c>
      <c r="K36">
        <v>26</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CB98C-C5B2-45EC-ACE5-E407C671E497}">
  <sheetPr codeName="Hoja13"/>
  <dimension ref="A1:O36"/>
  <sheetViews>
    <sheetView workbookViewId="0">
      <pane ySplit="1" topLeftCell="A2" activePane="bottomLeft" state="frozen"/>
      <selection activeCell="L38" sqref="L38"/>
      <selection pane="bottomLeft" activeCell="L38" sqref="L38"/>
    </sheetView>
  </sheetViews>
  <sheetFormatPr baseColWidth="10" defaultRowHeight="15" x14ac:dyDescent="0.25"/>
  <cols>
    <col min="1" max="1" width="29.28515625" customWidth="1"/>
    <col min="2" max="3" width="20.7109375" customWidth="1"/>
    <col min="4" max="4" width="22.140625" customWidth="1"/>
    <col min="5" max="6" width="13.7109375" customWidth="1"/>
    <col min="7" max="7" width="12.7109375" customWidth="1"/>
    <col min="8" max="8" width="26.28515625" customWidth="1"/>
    <col min="9" max="14" width="12.7109375" customWidth="1"/>
    <col min="15" max="15" width="40.7109375" customWidth="1"/>
  </cols>
  <sheetData>
    <row r="1" spans="1:15" ht="32.1" customHeight="1" x14ac:dyDescent="0.25">
      <c r="A1" s="59" t="s">
        <v>295</v>
      </c>
      <c r="B1" s="59" t="s">
        <v>315</v>
      </c>
      <c r="C1" s="59" t="s">
        <v>316</v>
      </c>
      <c r="D1" s="59" t="s">
        <v>325</v>
      </c>
      <c r="E1" s="59" t="s">
        <v>147</v>
      </c>
      <c r="F1" s="59" t="s">
        <v>326</v>
      </c>
      <c r="G1" s="59" t="s">
        <v>327</v>
      </c>
      <c r="H1" s="59" t="s">
        <v>328</v>
      </c>
      <c r="I1" s="59" t="s">
        <v>329</v>
      </c>
      <c r="J1" s="59" t="s">
        <v>330</v>
      </c>
      <c r="K1" s="59" t="s">
        <v>331</v>
      </c>
      <c r="L1" s="59" t="s">
        <v>332</v>
      </c>
      <c r="M1" s="59" t="s">
        <v>333</v>
      </c>
      <c r="N1" s="59" t="s">
        <v>334</v>
      </c>
      <c r="O1" s="59" t="s">
        <v>335</v>
      </c>
    </row>
    <row r="2" spans="1:15" x14ac:dyDescent="0.25">
      <c r="A2" s="60">
        <v>46216.554085648146</v>
      </c>
      <c r="B2" s="34" t="s">
        <v>253</v>
      </c>
      <c r="C2" s="34" t="s">
        <v>309</v>
      </c>
      <c r="D2" s="34">
        <v>8</v>
      </c>
      <c r="E2" s="61">
        <v>196.1</v>
      </c>
      <c r="F2" s="61">
        <v>27.5</v>
      </c>
      <c r="G2" s="62">
        <v>2.6522295798911367E-3</v>
      </c>
      <c r="H2" s="63">
        <v>2.2274887222468839E-2</v>
      </c>
      <c r="I2" s="63">
        <v>4.8161044113121873E-2</v>
      </c>
      <c r="J2" s="64">
        <v>5.7454040556185353E-2</v>
      </c>
      <c r="K2" s="34" t="s">
        <v>83</v>
      </c>
      <c r="L2" s="34" t="s">
        <v>83</v>
      </c>
      <c r="M2" s="34" t="s">
        <v>83</v>
      </c>
      <c r="N2" s="34" t="s">
        <v>83</v>
      </c>
      <c r="O2" s="34"/>
    </row>
    <row r="4" spans="1:15" x14ac:dyDescent="0.25">
      <c r="E4">
        <v>200</v>
      </c>
    </row>
    <row r="5" spans="1:15" x14ac:dyDescent="0.25">
      <c r="A5" t="s">
        <v>224</v>
      </c>
      <c r="E5" s="56">
        <v>200</v>
      </c>
    </row>
    <row r="6" spans="1:15" x14ac:dyDescent="0.25">
      <c r="E6" s="56">
        <v>200</v>
      </c>
    </row>
    <row r="7" spans="1:15" x14ac:dyDescent="0.25">
      <c r="E7" s="56">
        <v>200</v>
      </c>
    </row>
    <row r="8" spans="1:15" x14ac:dyDescent="0.25">
      <c r="A8" t="s">
        <v>224</v>
      </c>
      <c r="E8" s="56">
        <v>200</v>
      </c>
    </row>
    <row r="9" spans="1:15" x14ac:dyDescent="0.25">
      <c r="A9" t="s">
        <v>224</v>
      </c>
    </row>
    <row r="10" spans="1:15" x14ac:dyDescent="0.25">
      <c r="A10" t="s">
        <v>224</v>
      </c>
    </row>
    <row r="11" spans="1:15" x14ac:dyDescent="0.25">
      <c r="A11" t="s">
        <v>224</v>
      </c>
    </row>
    <row r="12" spans="1:15" x14ac:dyDescent="0.25">
      <c r="A12" t="s">
        <v>224</v>
      </c>
    </row>
    <row r="13" spans="1:15" x14ac:dyDescent="0.25">
      <c r="A13" t="s">
        <v>224</v>
      </c>
    </row>
    <row r="14" spans="1:15" x14ac:dyDescent="0.25">
      <c r="A14" t="s">
        <v>224</v>
      </c>
    </row>
    <row r="15" spans="1:15" x14ac:dyDescent="0.25">
      <c r="A15" t="s">
        <v>224</v>
      </c>
    </row>
    <row r="16" spans="1:15" x14ac:dyDescent="0.25">
      <c r="A16" t="s">
        <v>224</v>
      </c>
      <c r="H16" s="56"/>
    </row>
    <row r="17" spans="1:8" x14ac:dyDescent="0.25">
      <c r="A17" t="s">
        <v>224</v>
      </c>
      <c r="H17" s="56"/>
    </row>
    <row r="18" spans="1:8" x14ac:dyDescent="0.25">
      <c r="A18" t="s">
        <v>224</v>
      </c>
      <c r="H18" s="56"/>
    </row>
    <row r="19" spans="1:8" x14ac:dyDescent="0.25">
      <c r="A19" t="s">
        <v>224</v>
      </c>
      <c r="H19" s="56"/>
    </row>
    <row r="20" spans="1:8" x14ac:dyDescent="0.25">
      <c r="A20" t="s">
        <v>224</v>
      </c>
      <c r="H20" s="56"/>
    </row>
    <row r="21" spans="1:8" x14ac:dyDescent="0.25">
      <c r="A21" t="s">
        <v>224</v>
      </c>
      <c r="H21" s="56"/>
    </row>
    <row r="22" spans="1:8" x14ac:dyDescent="0.25">
      <c r="A22" t="s">
        <v>224</v>
      </c>
      <c r="H22" s="56"/>
    </row>
    <row r="23" spans="1:8" x14ac:dyDescent="0.25">
      <c r="A23" t="s">
        <v>224</v>
      </c>
      <c r="H23" s="56"/>
    </row>
    <row r="24" spans="1:8" x14ac:dyDescent="0.25">
      <c r="A24" t="s">
        <v>224</v>
      </c>
    </row>
    <row r="25" spans="1:8" x14ac:dyDescent="0.25">
      <c r="A25" t="s">
        <v>224</v>
      </c>
    </row>
    <row r="26" spans="1:8" x14ac:dyDescent="0.25">
      <c r="A26" t="s">
        <v>224</v>
      </c>
    </row>
    <row r="27" spans="1:8" x14ac:dyDescent="0.25">
      <c r="A27" t="s">
        <v>224</v>
      </c>
    </row>
    <row r="28" spans="1:8" x14ac:dyDescent="0.25">
      <c r="A28" t="s">
        <v>224</v>
      </c>
    </row>
    <row r="29" spans="1:8" x14ac:dyDescent="0.25">
      <c r="A29" t="s">
        <v>224</v>
      </c>
    </row>
    <row r="30" spans="1:8" x14ac:dyDescent="0.25">
      <c r="A30" t="s">
        <v>224</v>
      </c>
    </row>
    <row r="31" spans="1:8" x14ac:dyDescent="0.25">
      <c r="A31" t="s">
        <v>224</v>
      </c>
    </row>
    <row r="32" spans="1:8" x14ac:dyDescent="0.25">
      <c r="A32" t="s">
        <v>224</v>
      </c>
    </row>
    <row r="33" spans="1:11" x14ac:dyDescent="0.25">
      <c r="A33" t="s">
        <v>224</v>
      </c>
      <c r="K33">
        <v>13</v>
      </c>
    </row>
    <row r="34" spans="1:11" x14ac:dyDescent="0.25">
      <c r="A34" t="s">
        <v>224</v>
      </c>
      <c r="H34">
        <v>200</v>
      </c>
      <c r="K34">
        <v>26</v>
      </c>
    </row>
    <row r="35" spans="1:11" x14ac:dyDescent="0.25">
      <c r="A35" t="s">
        <v>224</v>
      </c>
      <c r="K35">
        <v>26</v>
      </c>
    </row>
    <row r="36" spans="1:11" x14ac:dyDescent="0.25">
      <c r="A36" t="s">
        <v>224</v>
      </c>
      <c r="K36">
        <v>26</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5919F-AA1D-414C-9F11-DC15C8F196B2}">
  <sheetPr codeName="Hoja14"/>
  <dimension ref="A1:C22"/>
  <sheetViews>
    <sheetView topLeftCell="A22" workbookViewId="0">
      <selection activeCell="C21" sqref="C21"/>
    </sheetView>
  </sheetViews>
  <sheetFormatPr baseColWidth="10" defaultRowHeight="15" x14ac:dyDescent="0.25"/>
  <cols>
    <col min="1" max="1" width="18.7109375" customWidth="1"/>
    <col min="2" max="2" width="55.42578125" customWidth="1"/>
    <col min="3" max="3" width="132.140625" customWidth="1"/>
  </cols>
  <sheetData>
    <row r="1" spans="1:3" s="1" customFormat="1" x14ac:dyDescent="0.25">
      <c r="A1" s="70" t="s">
        <v>465</v>
      </c>
      <c r="B1" s="70" t="s">
        <v>466</v>
      </c>
      <c r="C1" s="70" t="s">
        <v>467</v>
      </c>
    </row>
    <row r="2" spans="1:3" ht="60" x14ac:dyDescent="0.25">
      <c r="A2" s="71">
        <v>46224.249386574076</v>
      </c>
      <c r="B2" t="s">
        <v>468</v>
      </c>
      <c r="C2" s="72" t="s">
        <v>469</v>
      </c>
    </row>
    <row r="3" spans="1:3" ht="60" x14ac:dyDescent="0.25">
      <c r="A3" s="71">
        <v>46224.254270833335</v>
      </c>
      <c r="B3" t="s">
        <v>468</v>
      </c>
      <c r="C3" s="72" t="s">
        <v>469</v>
      </c>
    </row>
    <row r="4" spans="1:3" ht="390" x14ac:dyDescent="0.25">
      <c r="A4" s="71">
        <v>46224.633275462962</v>
      </c>
      <c r="B4" t="s">
        <v>630</v>
      </c>
      <c r="C4" s="72" t="s">
        <v>631</v>
      </c>
    </row>
    <row r="5" spans="1:3" ht="390" x14ac:dyDescent="0.25">
      <c r="A5" s="71">
        <v>46224.639722222222</v>
      </c>
      <c r="B5" t="s">
        <v>630</v>
      </c>
      <c r="C5" s="72" t="s">
        <v>631</v>
      </c>
    </row>
    <row r="6" spans="1:3" x14ac:dyDescent="0.25">
      <c r="A6" s="71">
        <v>46224.695150462961</v>
      </c>
      <c r="B6" t="s">
        <v>658</v>
      </c>
      <c r="C6" t="s">
        <v>659</v>
      </c>
    </row>
    <row r="7" spans="1:3" ht="409.5" x14ac:dyDescent="0.25">
      <c r="A7" s="71">
        <v>46224.695150462961</v>
      </c>
      <c r="B7" t="s">
        <v>630</v>
      </c>
      <c r="C7" s="72" t="s">
        <v>660</v>
      </c>
    </row>
    <row r="8" spans="1:3" x14ac:dyDescent="0.25">
      <c r="A8" s="71">
        <v>46224.697002314817</v>
      </c>
      <c r="B8" t="s">
        <v>658</v>
      </c>
      <c r="C8" t="s">
        <v>693</v>
      </c>
    </row>
    <row r="9" spans="1:3" ht="388.5" customHeight="1" x14ac:dyDescent="0.25">
      <c r="A9" s="71">
        <v>46224.697002314817</v>
      </c>
      <c r="B9" t="s">
        <v>630</v>
      </c>
      <c r="C9" s="72" t="s">
        <v>694</v>
      </c>
    </row>
    <row r="10" spans="1:3" ht="409.5" x14ac:dyDescent="0.25">
      <c r="A10" s="71">
        <v>46224.706828703704</v>
      </c>
      <c r="B10" t="s">
        <v>630</v>
      </c>
      <c r="C10" s="72" t="s">
        <v>694</v>
      </c>
    </row>
    <row r="11" spans="1:3" ht="409.5" x14ac:dyDescent="0.25">
      <c r="A11" s="71">
        <v>46224.708738425928</v>
      </c>
      <c r="B11" t="s">
        <v>630</v>
      </c>
      <c r="C11" s="72" t="s">
        <v>694</v>
      </c>
    </row>
    <row r="12" spans="1:3" ht="406.5" customHeight="1" x14ac:dyDescent="0.25">
      <c r="A12" s="71">
        <v>46224.709560185183</v>
      </c>
      <c r="B12" t="s">
        <v>630</v>
      </c>
      <c r="C12" s="72" t="s">
        <v>694</v>
      </c>
    </row>
    <row r="13" spans="1:3" x14ac:dyDescent="0.25">
      <c r="A13" s="71">
        <v>46224.729409722226</v>
      </c>
      <c r="B13" t="s">
        <v>658</v>
      </c>
      <c r="C13" t="s">
        <v>716</v>
      </c>
    </row>
    <row r="14" spans="1:3" ht="409.5" x14ac:dyDescent="0.25">
      <c r="A14" s="71">
        <v>46224.729421296295</v>
      </c>
      <c r="B14" t="s">
        <v>630</v>
      </c>
      <c r="C14" s="72" t="s">
        <v>717</v>
      </c>
    </row>
    <row r="15" spans="1:3" ht="409.5" x14ac:dyDescent="0.25">
      <c r="A15" s="71">
        <v>46224.730347222219</v>
      </c>
      <c r="B15" t="s">
        <v>630</v>
      </c>
      <c r="C15" s="72" t="s">
        <v>717</v>
      </c>
    </row>
    <row r="16" spans="1:3" x14ac:dyDescent="0.25">
      <c r="A16" s="71">
        <v>46225.800902777781</v>
      </c>
      <c r="B16" t="s">
        <v>658</v>
      </c>
      <c r="C16" t="s">
        <v>736</v>
      </c>
    </row>
    <row r="17" spans="1:3" ht="409.5" x14ac:dyDescent="0.25">
      <c r="A17" s="71">
        <v>46225.800902777781</v>
      </c>
      <c r="B17" t="s">
        <v>630</v>
      </c>
      <c r="C17" s="72" t="s">
        <v>737</v>
      </c>
    </row>
    <row r="18" spans="1:3" x14ac:dyDescent="0.25">
      <c r="A18" s="71">
        <v>46225.814606481479</v>
      </c>
      <c r="B18" t="s">
        <v>658</v>
      </c>
      <c r="C18" t="s">
        <v>736</v>
      </c>
    </row>
    <row r="19" spans="1:3" ht="409.5" x14ac:dyDescent="0.25">
      <c r="A19" s="71">
        <v>46225.814606481479</v>
      </c>
      <c r="B19" t="s">
        <v>630</v>
      </c>
      <c r="C19" s="72" t="s">
        <v>737</v>
      </c>
    </row>
    <row r="20" spans="1:3" x14ac:dyDescent="0.25">
      <c r="A20" s="71">
        <v>46225.841261574074</v>
      </c>
      <c r="B20" t="s">
        <v>658</v>
      </c>
      <c r="C20" t="s">
        <v>742</v>
      </c>
    </row>
    <row r="21" spans="1:3" ht="409.5" x14ac:dyDescent="0.25">
      <c r="A21" s="71">
        <v>46225.841261574074</v>
      </c>
      <c r="B21" t="s">
        <v>630</v>
      </c>
      <c r="C21" s="72" t="s">
        <v>753</v>
      </c>
    </row>
    <row r="22" spans="1:3" x14ac:dyDescent="0.25">
      <c r="A22" s="71">
        <v>46226.369583333333</v>
      </c>
      <c r="B22" t="s">
        <v>751</v>
      </c>
      <c r="C22" t="s">
        <v>752</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415FD-4835-401C-AE8F-7E7F9991EB63}">
  <sheetPr codeName="Hoja15"/>
  <dimension ref="A1:F36"/>
  <sheetViews>
    <sheetView topLeftCell="A10" workbookViewId="0"/>
  </sheetViews>
  <sheetFormatPr baseColWidth="10" defaultRowHeight="15" x14ac:dyDescent="0.25"/>
  <cols>
    <col min="1" max="1" width="255.7109375" bestFit="1" customWidth="1"/>
    <col min="2" max="2" width="45.7109375" customWidth="1"/>
    <col min="3" max="3" width="255.7109375" bestFit="1" customWidth="1"/>
    <col min="4" max="4" width="143.28515625" bestFit="1" customWidth="1"/>
    <col min="5" max="5" width="71.85546875" bestFit="1" customWidth="1"/>
    <col min="6" max="6" width="35.7109375" customWidth="1"/>
  </cols>
  <sheetData>
    <row r="1" spans="1:6" s="75" customFormat="1" x14ac:dyDescent="0.25">
      <c r="A1" s="75" t="s">
        <v>470</v>
      </c>
    </row>
    <row r="3" spans="1:6" s="76" customFormat="1" x14ac:dyDescent="0.25">
      <c r="A3" s="76" t="s">
        <v>471</v>
      </c>
      <c r="B3" s="76" t="s">
        <v>472</v>
      </c>
      <c r="C3" s="76" t="s">
        <v>473</v>
      </c>
      <c r="D3" s="76" t="s">
        <v>474</v>
      </c>
      <c r="E3" s="76" t="s">
        <v>92</v>
      </c>
      <c r="F3" s="76" t="s">
        <v>4</v>
      </c>
    </row>
    <row r="4" spans="1:6" x14ac:dyDescent="0.25">
      <c r="A4" s="77" t="s">
        <v>475</v>
      </c>
      <c r="B4" s="77" t="s">
        <v>476</v>
      </c>
      <c r="C4" s="77" t="s">
        <v>477</v>
      </c>
      <c r="D4" s="77" t="s">
        <v>478</v>
      </c>
      <c r="E4" s="77" t="s">
        <v>479</v>
      </c>
      <c r="F4" s="77" t="s">
        <v>480</v>
      </c>
    </row>
    <row r="5" spans="1:6" x14ac:dyDescent="0.25">
      <c r="A5" t="s">
        <v>481</v>
      </c>
      <c r="B5" t="s">
        <v>482</v>
      </c>
      <c r="C5" t="s">
        <v>483</v>
      </c>
      <c r="D5" t="s">
        <v>484</v>
      </c>
      <c r="E5" t="s">
        <v>485</v>
      </c>
      <c r="F5" t="s">
        <v>486</v>
      </c>
    </row>
    <row r="6" spans="1:6" x14ac:dyDescent="0.25">
      <c r="A6" s="77" t="s">
        <v>487</v>
      </c>
      <c r="B6" s="77" t="s">
        <v>488</v>
      </c>
      <c r="C6" s="77" t="s">
        <v>489</v>
      </c>
      <c r="D6" s="77" t="s">
        <v>490</v>
      </c>
      <c r="E6" s="77" t="s">
        <v>479</v>
      </c>
      <c r="F6" s="77" t="s">
        <v>491</v>
      </c>
    </row>
    <row r="7" spans="1:6" x14ac:dyDescent="0.25">
      <c r="A7" t="s">
        <v>492</v>
      </c>
      <c r="B7" t="s">
        <v>493</v>
      </c>
      <c r="C7" t="s">
        <v>494</v>
      </c>
      <c r="D7" t="s">
        <v>495</v>
      </c>
      <c r="E7" t="s">
        <v>485</v>
      </c>
      <c r="F7" t="s">
        <v>496</v>
      </c>
    </row>
    <row r="8" spans="1:6" x14ac:dyDescent="0.25">
      <c r="A8" s="77" t="s">
        <v>497</v>
      </c>
      <c r="B8" s="77" t="s">
        <v>498</v>
      </c>
      <c r="C8" s="77" t="s">
        <v>499</v>
      </c>
      <c r="D8" s="77" t="s">
        <v>500</v>
      </c>
      <c r="E8" s="77" t="s">
        <v>479</v>
      </c>
      <c r="F8" s="77" t="s">
        <v>501</v>
      </c>
    </row>
    <row r="9" spans="1:6" x14ac:dyDescent="0.25">
      <c r="A9" t="s">
        <v>502</v>
      </c>
      <c r="B9" t="s">
        <v>503</v>
      </c>
      <c r="C9" t="s">
        <v>504</v>
      </c>
      <c r="D9" t="s">
        <v>505</v>
      </c>
      <c r="E9" t="s">
        <v>479</v>
      </c>
      <c r="F9" t="s">
        <v>506</v>
      </c>
    </row>
    <row r="10" spans="1:6" x14ac:dyDescent="0.25">
      <c r="A10" s="77" t="s">
        <v>507</v>
      </c>
      <c r="B10" s="77" t="s">
        <v>508</v>
      </c>
      <c r="C10" s="77" t="s">
        <v>509</v>
      </c>
      <c r="D10" s="77" t="s">
        <v>510</v>
      </c>
      <c r="E10" s="77" t="s">
        <v>479</v>
      </c>
      <c r="F10" s="77" t="s">
        <v>511</v>
      </c>
    </row>
    <row r="11" spans="1:6" x14ac:dyDescent="0.25">
      <c r="A11" t="s">
        <v>512</v>
      </c>
      <c r="B11" t="s">
        <v>513</v>
      </c>
      <c r="C11" t="s">
        <v>514</v>
      </c>
      <c r="D11" t="s">
        <v>515</v>
      </c>
      <c r="E11" t="s">
        <v>479</v>
      </c>
      <c r="F11" t="s">
        <v>516</v>
      </c>
    </row>
    <row r="12" spans="1:6" x14ac:dyDescent="0.25">
      <c r="A12" s="77" t="s">
        <v>517</v>
      </c>
      <c r="B12" s="77" t="s">
        <v>518</v>
      </c>
      <c r="C12" s="77" t="s">
        <v>519</v>
      </c>
      <c r="D12" s="77" t="s">
        <v>520</v>
      </c>
      <c r="E12" s="77" t="s">
        <v>479</v>
      </c>
      <c r="F12" s="77" t="s">
        <v>516</v>
      </c>
    </row>
    <row r="13" spans="1:6" x14ac:dyDescent="0.25">
      <c r="A13" t="s">
        <v>521</v>
      </c>
      <c r="B13" t="s">
        <v>522</v>
      </c>
      <c r="C13" t="s">
        <v>523</v>
      </c>
      <c r="D13" t="s">
        <v>524</v>
      </c>
      <c r="E13" t="s">
        <v>479</v>
      </c>
      <c r="F13" t="s">
        <v>525</v>
      </c>
    </row>
    <row r="14" spans="1:6" x14ac:dyDescent="0.25">
      <c r="A14" s="77" t="s">
        <v>526</v>
      </c>
      <c r="B14" s="77" t="s">
        <v>527</v>
      </c>
      <c r="C14" s="77" t="s">
        <v>528</v>
      </c>
      <c r="D14" s="77" t="s">
        <v>529</v>
      </c>
      <c r="E14" s="77" t="s">
        <v>479</v>
      </c>
      <c r="F14" s="77" t="s">
        <v>530</v>
      </c>
    </row>
    <row r="15" spans="1:6" x14ac:dyDescent="0.25">
      <c r="A15" t="s">
        <v>531</v>
      </c>
      <c r="B15" t="s">
        <v>532</v>
      </c>
      <c r="C15" t="s">
        <v>533</v>
      </c>
      <c r="D15" t="s">
        <v>534</v>
      </c>
      <c r="E15" t="s">
        <v>479</v>
      </c>
      <c r="F15" t="s">
        <v>535</v>
      </c>
    </row>
    <row r="16" spans="1:6" x14ac:dyDescent="0.25">
      <c r="A16" s="77" t="s">
        <v>536</v>
      </c>
      <c r="B16" s="77" t="s">
        <v>537</v>
      </c>
      <c r="C16" s="77" t="s">
        <v>538</v>
      </c>
      <c r="D16" s="77" t="s">
        <v>539</v>
      </c>
      <c r="E16" s="77" t="s">
        <v>479</v>
      </c>
      <c r="F16" s="77" t="s">
        <v>540</v>
      </c>
    </row>
    <row r="17" spans="1:6" x14ac:dyDescent="0.25">
      <c r="A17" t="s">
        <v>541</v>
      </c>
      <c r="B17" t="s">
        <v>542</v>
      </c>
      <c r="C17" t="s">
        <v>543</v>
      </c>
      <c r="D17" t="s">
        <v>544</v>
      </c>
      <c r="E17" t="s">
        <v>479</v>
      </c>
      <c r="F17" t="s">
        <v>545</v>
      </c>
    </row>
    <row r="18" spans="1:6" x14ac:dyDescent="0.25">
      <c r="A18" s="77" t="s">
        <v>546</v>
      </c>
      <c r="B18" s="77" t="s">
        <v>547</v>
      </c>
      <c r="C18" s="77" t="s">
        <v>548</v>
      </c>
      <c r="D18" s="77" t="s">
        <v>549</v>
      </c>
      <c r="E18" s="77" t="s">
        <v>479</v>
      </c>
      <c r="F18" s="77" t="s">
        <v>550</v>
      </c>
    </row>
    <row r="19" spans="1:6" x14ac:dyDescent="0.25">
      <c r="A19" t="s">
        <v>551</v>
      </c>
      <c r="B19" t="s">
        <v>552</v>
      </c>
      <c r="C19" t="s">
        <v>553</v>
      </c>
      <c r="D19" t="s">
        <v>554</v>
      </c>
      <c r="E19" t="s">
        <v>479</v>
      </c>
      <c r="F19" t="s">
        <v>555</v>
      </c>
    </row>
    <row r="20" spans="1:6" x14ac:dyDescent="0.25">
      <c r="A20" s="77" t="s">
        <v>556</v>
      </c>
      <c r="B20" s="77" t="s">
        <v>557</v>
      </c>
      <c r="C20" s="77" t="s">
        <v>558</v>
      </c>
      <c r="D20" s="77" t="s">
        <v>559</v>
      </c>
      <c r="E20" s="77" t="s">
        <v>479</v>
      </c>
      <c r="F20" s="77" t="s">
        <v>560</v>
      </c>
    </row>
    <row r="21" spans="1:6" x14ac:dyDescent="0.25">
      <c r="A21" t="s">
        <v>561</v>
      </c>
      <c r="B21" t="s">
        <v>562</v>
      </c>
      <c r="C21" t="s">
        <v>563</v>
      </c>
      <c r="D21" t="s">
        <v>564</v>
      </c>
      <c r="E21" t="s">
        <v>479</v>
      </c>
      <c r="F21" t="s">
        <v>565</v>
      </c>
    </row>
    <row r="22" spans="1:6" x14ac:dyDescent="0.25">
      <c r="A22" s="77" t="s">
        <v>566</v>
      </c>
      <c r="B22" s="77" t="s">
        <v>567</v>
      </c>
      <c r="C22" s="77" t="s">
        <v>568</v>
      </c>
      <c r="D22" s="77" t="s">
        <v>569</v>
      </c>
      <c r="E22" s="77" t="s">
        <v>479</v>
      </c>
      <c r="F22" s="77" t="s">
        <v>570</v>
      </c>
    </row>
    <row r="23" spans="1:6" x14ac:dyDescent="0.25">
      <c r="A23" t="s">
        <v>571</v>
      </c>
      <c r="B23" t="s">
        <v>572</v>
      </c>
      <c r="C23" t="s">
        <v>573</v>
      </c>
      <c r="D23" t="s">
        <v>574</v>
      </c>
      <c r="E23" t="s">
        <v>479</v>
      </c>
      <c r="F23" t="s">
        <v>575</v>
      </c>
    </row>
    <row r="24" spans="1:6" x14ac:dyDescent="0.25">
      <c r="A24" s="77" t="s">
        <v>576</v>
      </c>
      <c r="B24" s="77" t="s">
        <v>577</v>
      </c>
      <c r="C24" s="77" t="s">
        <v>578</v>
      </c>
      <c r="D24" s="77" t="s">
        <v>579</v>
      </c>
      <c r="E24" s="77" t="s">
        <v>479</v>
      </c>
      <c r="F24" s="77" t="s">
        <v>580</v>
      </c>
    </row>
    <row r="25" spans="1:6" x14ac:dyDescent="0.25">
      <c r="A25" s="78" t="s">
        <v>582</v>
      </c>
      <c r="B25" s="78" t="s">
        <v>583</v>
      </c>
      <c r="C25" s="78" t="s">
        <v>584</v>
      </c>
      <c r="D25" s="78" t="s">
        <v>581</v>
      </c>
      <c r="E25" s="78" t="s">
        <v>581</v>
      </c>
      <c r="F25" s="78" t="s">
        <v>585</v>
      </c>
    </row>
    <row r="26" spans="1:6" x14ac:dyDescent="0.25">
      <c r="A26" s="78" t="s">
        <v>586</v>
      </c>
      <c r="B26" s="78" t="s">
        <v>587</v>
      </c>
      <c r="C26" s="78" t="s">
        <v>581</v>
      </c>
      <c r="D26" s="78" t="s">
        <v>581</v>
      </c>
      <c r="E26" s="78" t="s">
        <v>581</v>
      </c>
      <c r="F26" s="78" t="s">
        <v>588</v>
      </c>
    </row>
    <row r="27" spans="1:6" x14ac:dyDescent="0.25">
      <c r="A27" t="s">
        <v>590</v>
      </c>
      <c r="B27" t="s">
        <v>591</v>
      </c>
      <c r="C27" t="s">
        <v>592</v>
      </c>
      <c r="D27" t="s">
        <v>593</v>
      </c>
      <c r="E27" t="s">
        <v>479</v>
      </c>
      <c r="F27" t="s">
        <v>594</v>
      </c>
    </row>
    <row r="28" spans="1:6" x14ac:dyDescent="0.25">
      <c r="A28" s="77" t="s">
        <v>595</v>
      </c>
      <c r="B28" s="77" t="s">
        <v>596</v>
      </c>
      <c r="C28" s="77" t="s">
        <v>597</v>
      </c>
      <c r="D28" s="77" t="s">
        <v>598</v>
      </c>
      <c r="E28" s="77" t="s">
        <v>479</v>
      </c>
      <c r="F28" s="77" t="s">
        <v>599</v>
      </c>
    </row>
    <row r="29" spans="1:6" x14ac:dyDescent="0.25">
      <c r="A29" t="s">
        <v>600</v>
      </c>
      <c r="B29" t="s">
        <v>601</v>
      </c>
      <c r="C29" t="s">
        <v>602</v>
      </c>
      <c r="D29" t="s">
        <v>603</v>
      </c>
      <c r="E29" t="s">
        <v>479</v>
      </c>
      <c r="F29" t="s">
        <v>594</v>
      </c>
    </row>
    <row r="30" spans="1:6" x14ac:dyDescent="0.25">
      <c r="A30" s="77" t="s">
        <v>609</v>
      </c>
      <c r="B30" s="77" t="s">
        <v>610</v>
      </c>
      <c r="C30" s="77" t="s">
        <v>604</v>
      </c>
      <c r="D30" s="77" t="s">
        <v>605</v>
      </c>
      <c r="E30" s="77" t="s">
        <v>479</v>
      </c>
      <c r="F30" s="77" t="s">
        <v>611</v>
      </c>
    </row>
    <row r="31" spans="1:6" x14ac:dyDescent="0.25">
      <c r="A31" t="s">
        <v>606</v>
      </c>
      <c r="B31" t="s">
        <v>612</v>
      </c>
      <c r="C31" t="s">
        <v>613</v>
      </c>
      <c r="D31" t="s">
        <v>614</v>
      </c>
      <c r="E31" t="s">
        <v>607</v>
      </c>
      <c r="F31" t="s">
        <v>615</v>
      </c>
    </row>
    <row r="32" spans="1:6" x14ac:dyDescent="0.25">
      <c r="A32" s="77" t="s">
        <v>608</v>
      </c>
      <c r="B32" s="77" t="s">
        <v>616</v>
      </c>
      <c r="C32" s="77" t="s">
        <v>617</v>
      </c>
      <c r="D32" s="77" t="s">
        <v>618</v>
      </c>
      <c r="E32" s="77" t="s">
        <v>602</v>
      </c>
      <c r="F32" s="77" t="s">
        <v>615</v>
      </c>
    </row>
    <row r="33" spans="1:6" x14ac:dyDescent="0.25">
      <c r="A33" t="s">
        <v>619</v>
      </c>
      <c r="B33" t="s">
        <v>620</v>
      </c>
      <c r="C33" t="s">
        <v>621</v>
      </c>
      <c r="D33" t="s">
        <v>622</v>
      </c>
      <c r="E33" t="s">
        <v>485</v>
      </c>
      <c r="F33" t="s">
        <v>623</v>
      </c>
    </row>
    <row r="34" spans="1:6" x14ac:dyDescent="0.25">
      <c r="A34" s="77" t="s">
        <v>624</v>
      </c>
      <c r="B34" s="77" t="s">
        <v>625</v>
      </c>
      <c r="C34" s="77" t="s">
        <v>626</v>
      </c>
      <c r="D34" s="77" t="s">
        <v>627</v>
      </c>
      <c r="E34" s="77" t="s">
        <v>479</v>
      </c>
      <c r="F34" s="77" t="s">
        <v>628</v>
      </c>
    </row>
    <row r="36" spans="1:6" x14ac:dyDescent="0.25">
      <c r="A36" s="79" t="s">
        <v>589</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475AC-3F39-44AD-A8A5-26C4D3997614}">
  <sheetPr codeName="Hoja16"/>
  <dimension ref="A1:M28"/>
  <sheetViews>
    <sheetView workbookViewId="0">
      <selection activeCell="C11" sqref="C11"/>
    </sheetView>
  </sheetViews>
  <sheetFormatPr baseColWidth="10" defaultRowHeight="15" x14ac:dyDescent="0.25"/>
  <cols>
    <col min="1" max="1" width="16.7109375" customWidth="1"/>
    <col min="2" max="2" width="22.7109375" customWidth="1"/>
    <col min="3" max="3" width="26.7109375" customWidth="1"/>
    <col min="4" max="13" width="14.7109375" customWidth="1"/>
  </cols>
  <sheetData>
    <row r="1" spans="1:13" ht="17.25" x14ac:dyDescent="0.3">
      <c r="A1" s="23" t="s">
        <v>632</v>
      </c>
    </row>
    <row r="2" spans="1:13" x14ac:dyDescent="0.25">
      <c r="A2" s="82" t="s">
        <v>633</v>
      </c>
    </row>
    <row r="4" spans="1:13" ht="30" customHeight="1" x14ac:dyDescent="0.25">
      <c r="A4" s="83" t="s">
        <v>296</v>
      </c>
      <c r="B4" s="83" t="s">
        <v>297</v>
      </c>
      <c r="C4" s="83" t="s">
        <v>298</v>
      </c>
      <c r="D4" s="83" t="s">
        <v>299</v>
      </c>
      <c r="E4" s="83" t="s">
        <v>300</v>
      </c>
      <c r="F4" s="83" t="s">
        <v>301</v>
      </c>
      <c r="G4" s="83" t="s">
        <v>302</v>
      </c>
      <c r="H4" s="83" t="s">
        <v>303</v>
      </c>
      <c r="I4" s="83" t="s">
        <v>304</v>
      </c>
      <c r="J4" s="83" t="s">
        <v>305</v>
      </c>
      <c r="K4" s="83" t="s">
        <v>306</v>
      </c>
      <c r="L4" s="83" t="s">
        <v>307</v>
      </c>
      <c r="M4" s="83" t="s">
        <v>308</v>
      </c>
    </row>
    <row r="5" spans="1:13" x14ac:dyDescent="0.25">
      <c r="A5" s="84"/>
      <c r="B5" s="84"/>
      <c r="C5" s="84"/>
      <c r="D5" s="84"/>
      <c r="E5" s="84"/>
      <c r="F5" s="84"/>
      <c r="G5" s="84"/>
      <c r="H5" s="84"/>
      <c r="I5" s="84"/>
      <c r="J5" s="84"/>
      <c r="K5" s="84"/>
      <c r="L5" s="84"/>
      <c r="M5" s="84"/>
    </row>
    <row r="6" spans="1:13" x14ac:dyDescent="0.25">
      <c r="A6" s="69"/>
      <c r="B6" s="69"/>
      <c r="C6" s="69"/>
      <c r="D6" s="69"/>
      <c r="E6" s="69"/>
      <c r="F6" s="69"/>
      <c r="G6" s="69"/>
      <c r="H6" s="69"/>
      <c r="I6" s="69"/>
      <c r="J6" s="69"/>
      <c r="K6" s="69"/>
      <c r="L6" s="69"/>
      <c r="M6" s="69"/>
    </row>
    <row r="7" spans="1:13" x14ac:dyDescent="0.25">
      <c r="A7" s="69"/>
      <c r="B7" s="69"/>
      <c r="C7" s="69"/>
      <c r="D7" s="69"/>
      <c r="E7" s="69"/>
      <c r="F7" s="69"/>
      <c r="G7" s="69"/>
      <c r="H7" s="69"/>
      <c r="I7" s="69"/>
      <c r="J7" s="69"/>
      <c r="K7" s="69"/>
      <c r="L7" s="69"/>
      <c r="M7" s="69"/>
    </row>
    <row r="8" spans="1:13" x14ac:dyDescent="0.25">
      <c r="A8" s="69"/>
      <c r="B8" s="69"/>
      <c r="C8" s="69"/>
      <c r="D8" s="69"/>
      <c r="E8" s="69"/>
      <c r="F8" s="69"/>
      <c r="G8" s="69"/>
      <c r="H8" s="69"/>
      <c r="I8" s="69"/>
      <c r="J8" s="69"/>
      <c r="K8" s="69"/>
      <c r="L8" s="69"/>
      <c r="M8" s="69"/>
    </row>
    <row r="9" spans="1:13" x14ac:dyDescent="0.25">
      <c r="A9" s="69"/>
      <c r="B9" s="69"/>
      <c r="C9" s="69"/>
      <c r="D9" s="69"/>
      <c r="E9" s="69"/>
      <c r="F9" s="69"/>
      <c r="G9" s="69"/>
      <c r="H9" s="69"/>
      <c r="I9" s="69"/>
      <c r="J9" s="69"/>
      <c r="K9" s="69"/>
      <c r="L9" s="69"/>
      <c r="M9" s="69"/>
    </row>
    <row r="10" spans="1:13" x14ac:dyDescent="0.25">
      <c r="A10" s="69"/>
      <c r="B10" s="69"/>
      <c r="C10" s="69"/>
      <c r="D10" s="69"/>
      <c r="E10" s="69"/>
      <c r="F10" s="69"/>
      <c r="G10" s="69"/>
      <c r="H10" s="69"/>
      <c r="I10" s="69"/>
      <c r="J10" s="69"/>
      <c r="K10" s="69"/>
      <c r="L10" s="69"/>
      <c r="M10" s="69"/>
    </row>
    <row r="11" spans="1:13" x14ac:dyDescent="0.25">
      <c r="A11" s="69"/>
      <c r="B11" s="69"/>
      <c r="C11" s="69"/>
      <c r="D11" s="69"/>
      <c r="E11" s="69"/>
      <c r="F11" s="69"/>
      <c r="G11" s="69"/>
      <c r="H11" s="69"/>
      <c r="I11" s="69"/>
      <c r="J11" s="69"/>
      <c r="K11" s="69"/>
      <c r="L11" s="69"/>
      <c r="M11" s="69"/>
    </row>
    <row r="12" spans="1:13" x14ac:dyDescent="0.25">
      <c r="A12" s="69"/>
      <c r="B12" s="69"/>
      <c r="C12" s="69"/>
      <c r="D12" s="69"/>
      <c r="E12" s="69"/>
      <c r="F12" s="69"/>
      <c r="G12" s="69"/>
      <c r="H12" s="69"/>
      <c r="I12" s="69"/>
      <c r="J12" s="69"/>
      <c r="K12" s="69"/>
      <c r="L12" s="69"/>
      <c r="M12" s="69"/>
    </row>
    <row r="13" spans="1:13" x14ac:dyDescent="0.25">
      <c r="A13" s="69"/>
      <c r="B13" s="69"/>
      <c r="C13" s="69"/>
      <c r="D13" s="69"/>
      <c r="E13" s="69"/>
      <c r="F13" s="69"/>
      <c r="G13" s="69"/>
      <c r="H13" s="69"/>
      <c r="I13" s="69"/>
      <c r="J13" s="69"/>
      <c r="K13" s="69"/>
      <c r="L13" s="69"/>
      <c r="M13" s="69"/>
    </row>
    <row r="14" spans="1:13" x14ac:dyDescent="0.25">
      <c r="A14" s="69"/>
      <c r="B14" s="69"/>
      <c r="C14" s="69"/>
      <c r="D14" s="69"/>
      <c r="E14" s="69"/>
      <c r="F14" s="69"/>
      <c r="G14" s="69"/>
      <c r="H14" s="69"/>
      <c r="I14" s="69"/>
      <c r="J14" s="69"/>
      <c r="K14" s="69"/>
      <c r="L14" s="69"/>
      <c r="M14" s="69"/>
    </row>
    <row r="15" spans="1:13" x14ac:dyDescent="0.25">
      <c r="A15" s="69"/>
      <c r="B15" s="69"/>
      <c r="C15" s="69"/>
      <c r="D15" s="69"/>
      <c r="E15" s="69"/>
      <c r="F15" s="69"/>
      <c r="G15" s="69"/>
      <c r="H15" s="69"/>
      <c r="I15" s="69"/>
      <c r="J15" s="69"/>
      <c r="K15" s="69"/>
      <c r="L15" s="69"/>
      <c r="M15" s="69"/>
    </row>
    <row r="16" spans="1:13" x14ac:dyDescent="0.25">
      <c r="A16" s="69"/>
      <c r="B16" s="69"/>
      <c r="C16" s="69"/>
      <c r="D16" s="69"/>
      <c r="E16" s="69"/>
      <c r="F16" s="69"/>
      <c r="G16" s="69"/>
      <c r="H16" s="69"/>
      <c r="I16" s="69"/>
      <c r="J16" s="69"/>
      <c r="K16" s="69"/>
      <c r="L16" s="69"/>
      <c r="M16" s="69"/>
    </row>
    <row r="17" spans="1:13" x14ac:dyDescent="0.25">
      <c r="A17" s="69"/>
      <c r="B17" s="69"/>
      <c r="C17" s="69"/>
      <c r="D17" s="69"/>
      <c r="E17" s="69"/>
      <c r="F17" s="69"/>
      <c r="G17" s="69"/>
      <c r="H17" s="69"/>
      <c r="I17" s="69"/>
      <c r="J17" s="69"/>
      <c r="K17" s="69"/>
      <c r="L17" s="69"/>
      <c r="M17" s="69"/>
    </row>
    <row r="18" spans="1:13" x14ac:dyDescent="0.25">
      <c r="A18" s="69"/>
      <c r="B18" s="69"/>
      <c r="C18" s="69"/>
      <c r="D18" s="69"/>
      <c r="E18" s="69"/>
      <c r="F18" s="69"/>
      <c r="G18" s="69"/>
      <c r="H18" s="69"/>
      <c r="I18" s="69"/>
      <c r="J18" s="69"/>
      <c r="K18" s="69"/>
      <c r="L18" s="69"/>
      <c r="M18" s="69"/>
    </row>
    <row r="19" spans="1:13" x14ac:dyDescent="0.25">
      <c r="A19" s="69"/>
      <c r="B19" s="69"/>
      <c r="C19" s="69"/>
      <c r="D19" s="69"/>
      <c r="E19" s="69"/>
      <c r="F19" s="69"/>
      <c r="G19" s="69"/>
      <c r="H19" s="69"/>
      <c r="I19" s="69"/>
      <c r="J19" s="69"/>
      <c r="K19" s="69"/>
      <c r="L19" s="69"/>
      <c r="M19" s="69"/>
    </row>
    <row r="20" spans="1:13" x14ac:dyDescent="0.25">
      <c r="A20" s="69"/>
      <c r="B20" s="69"/>
      <c r="C20" s="69"/>
      <c r="D20" s="69"/>
      <c r="E20" s="69"/>
      <c r="F20" s="69"/>
      <c r="G20" s="69"/>
      <c r="H20" s="69"/>
      <c r="I20" s="69"/>
      <c r="J20" s="69"/>
      <c r="K20" s="69"/>
      <c r="L20" s="69"/>
      <c r="M20" s="69"/>
    </row>
    <row r="21" spans="1:13" x14ac:dyDescent="0.25">
      <c r="A21" s="69"/>
      <c r="B21" s="69"/>
      <c r="C21" s="69"/>
      <c r="D21" s="69"/>
      <c r="E21" s="69"/>
      <c r="F21" s="69"/>
      <c r="G21" s="69"/>
      <c r="H21" s="69"/>
      <c r="I21" s="69"/>
      <c r="J21" s="69"/>
      <c r="K21" s="69"/>
      <c r="L21" s="69"/>
      <c r="M21" s="69"/>
    </row>
    <row r="22" spans="1:13" x14ac:dyDescent="0.25">
      <c r="A22" s="69"/>
      <c r="B22" s="69"/>
      <c r="C22" s="69"/>
      <c r="D22" s="69"/>
      <c r="E22" s="69"/>
      <c r="F22" s="69"/>
      <c r="G22" s="69"/>
      <c r="H22" s="69"/>
      <c r="I22" s="69"/>
      <c r="J22" s="69"/>
      <c r="K22" s="69"/>
      <c r="L22" s="69"/>
      <c r="M22" s="69"/>
    </row>
    <row r="23" spans="1:13" x14ac:dyDescent="0.25">
      <c r="A23" s="69"/>
      <c r="B23" s="69"/>
      <c r="C23" s="69"/>
      <c r="D23" s="69"/>
      <c r="E23" s="69"/>
      <c r="F23" s="69"/>
      <c r="G23" s="69"/>
      <c r="H23" s="69"/>
      <c r="I23" s="69"/>
      <c r="J23" s="69"/>
      <c r="K23" s="69"/>
      <c r="L23" s="69"/>
      <c r="M23" s="69"/>
    </row>
    <row r="24" spans="1:13" x14ac:dyDescent="0.25">
      <c r="A24" s="69"/>
      <c r="B24" s="69"/>
      <c r="C24" s="69"/>
      <c r="D24" s="69"/>
      <c r="E24" s="69"/>
      <c r="F24" s="69"/>
      <c r="G24" s="69"/>
      <c r="H24" s="69"/>
      <c r="I24" s="69"/>
      <c r="J24" s="69"/>
      <c r="K24" s="69"/>
      <c r="L24" s="69"/>
      <c r="M24" s="69"/>
    </row>
    <row r="25" spans="1:13" x14ac:dyDescent="0.25">
      <c r="A25" s="69"/>
      <c r="B25" s="69"/>
      <c r="C25" s="69"/>
      <c r="D25" s="69"/>
      <c r="E25" s="69"/>
      <c r="F25" s="69"/>
      <c r="G25" s="69"/>
      <c r="H25" s="69"/>
      <c r="I25" s="69"/>
      <c r="J25" s="69"/>
      <c r="K25" s="69"/>
      <c r="L25" s="69"/>
      <c r="M25" s="69"/>
    </row>
    <row r="26" spans="1:13" x14ac:dyDescent="0.25">
      <c r="A26" s="69"/>
      <c r="B26" s="69"/>
      <c r="C26" s="69"/>
      <c r="D26" s="69"/>
      <c r="E26" s="69"/>
      <c r="F26" s="69"/>
      <c r="G26" s="69"/>
      <c r="H26" s="69"/>
      <c r="I26" s="69"/>
      <c r="J26" s="69"/>
      <c r="K26" s="69"/>
      <c r="L26" s="69"/>
      <c r="M26" s="69"/>
    </row>
    <row r="27" spans="1:13" x14ac:dyDescent="0.25">
      <c r="A27" s="69"/>
      <c r="B27" s="69"/>
      <c r="C27" s="69"/>
      <c r="D27" s="69"/>
      <c r="E27" s="69"/>
      <c r="F27" s="69"/>
      <c r="G27" s="69"/>
      <c r="H27" s="69"/>
      <c r="I27" s="69"/>
      <c r="J27" s="69"/>
      <c r="K27" s="69"/>
      <c r="L27" s="69"/>
      <c r="M27" s="69"/>
    </row>
    <row r="28" spans="1:13" x14ac:dyDescent="0.25">
      <c r="A28" s="69"/>
      <c r="B28" s="69"/>
      <c r="C28" s="69"/>
      <c r="D28" s="69"/>
      <c r="E28" s="69"/>
      <c r="F28" s="69"/>
      <c r="G28" s="69"/>
      <c r="H28" s="69"/>
      <c r="I28" s="69"/>
      <c r="J28" s="69"/>
      <c r="K28" s="69"/>
      <c r="L28" s="69"/>
      <c r="M28" s="69"/>
    </row>
  </sheetData>
  <autoFilter ref="A4:M4" xr:uid="{EA9475AC-3F39-44AD-A8A5-26C4D3997614}"/>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Datos_Proyecto_Consumo</vt:lpstr>
      <vt:lpstr>Datos_Tecnicos</vt:lpstr>
      <vt:lpstr>Dimensionamiento_String</vt:lpstr>
      <vt:lpstr>Resultado_Dim_String</vt:lpstr>
      <vt:lpstr>Optimizacion_String</vt:lpstr>
      <vt:lpstr>Analisis_Mismatch_MPPT</vt:lpstr>
      <vt:lpstr>FF_vs_Irradiancia</vt:lpstr>
      <vt:lpstr>FF_vs_G_TReal</vt:lpstr>
      <vt:lpstr>Paneles_Comparativa</vt:lpstr>
      <vt:lpstr>FF_Comparativo_Paneles</vt:lpstr>
      <vt:lpstr>Catalogo_Inversores</vt:lpstr>
      <vt:lpstr>Mismatch_ASP-ST1-T40</vt:lpstr>
      <vt:lpstr>Log_Mismatch_Historico</vt:lpstr>
      <vt:lpstr>Log_Advertencias</vt:lpstr>
      <vt:lpstr>Mapa_Datos</vt:lpstr>
      <vt:lpstr>Importar_Temporal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Mauricio Alcaraz</cp:lastModifiedBy>
  <cp:revision>0</cp:revision>
  <dcterms:created xsi:type="dcterms:W3CDTF">2026-07-08T11:05:35Z</dcterms:created>
  <dcterms:modified xsi:type="dcterms:W3CDTF">2026-07-23T21:02:16Z</dcterms:modified>
  <dc:language>en-US</dc:language>
</cp:coreProperties>
</file>